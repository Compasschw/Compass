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krammahmoud/Desktop/Projects/Compass/"/>
    </mc:Choice>
  </mc:AlternateContent>
  <xr:revisionPtr revIDLastSave="0" documentId="8_{558976B3-D675-DF46-B310-91A85FCC3B38}" xr6:coauthVersionLast="47" xr6:coauthVersionMax="47" xr10:uidLastSave="{00000000-0000-0000-0000-000000000000}"/>
  <bookViews>
    <workbookView xWindow="0" yWindow="780" windowWidth="36000" windowHeight="22600" tabRatio="500" xr2:uid="{00000000-000D-0000-FFFF-FFFF00000000}"/>
  </bookViews>
  <sheets>
    <sheet name="Gantt Chart" sheetId="1" r:id="rId1"/>
    <sheet name="Summary" sheetId="2" r:id="rId2"/>
  </sheets>
  <definedNames>
    <definedName name="_xlnm._FilterDatabase" localSheetId="0" hidden="1">'Gantt Chart'!$A$4:$AF$100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" i="2" l="1"/>
  <c r="E97" i="1"/>
  <c r="E96" i="1"/>
  <c r="E95" i="1"/>
  <c r="E94" i="1"/>
  <c r="E93" i="1"/>
  <c r="E92" i="1"/>
  <c r="E91" i="1"/>
  <c r="E90" i="1"/>
  <c r="E89" i="1"/>
  <c r="E88" i="1"/>
  <c r="E86" i="1"/>
  <c r="E85" i="1"/>
  <c r="E84" i="1"/>
  <c r="E83" i="1"/>
  <c r="E82" i="1"/>
  <c r="E81" i="1"/>
  <c r="E80" i="1"/>
  <c r="E79" i="1"/>
  <c r="E78" i="1"/>
  <c r="E77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4" i="1"/>
  <c r="E43" i="1"/>
  <c r="E42" i="1"/>
  <c r="E41" i="1"/>
  <c r="E40" i="1"/>
  <c r="E39" i="1"/>
  <c r="E38" i="1"/>
  <c r="E37" i="1"/>
  <c r="E36" i="1"/>
  <c r="E35" i="1"/>
  <c r="E34" i="1"/>
  <c r="E33" i="1"/>
  <c r="E31" i="1"/>
  <c r="E30" i="1"/>
  <c r="E29" i="1"/>
  <c r="E28" i="1"/>
  <c r="E27" i="1"/>
  <c r="E26" i="1"/>
  <c r="E25" i="1"/>
  <c r="E24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</calcChain>
</file>

<file path=xl/sharedStrings.xml><?xml version="1.0" encoding="utf-8"?>
<sst xmlns="http://schemas.openxmlformats.org/spreadsheetml/2006/main" count="235" uniqueCount="135">
  <si>
    <t>CompassCHW — Project Gantt Chart</t>
  </si>
  <si>
    <t>Community Health Worker Marketplace  •  1 dev + Claude Code  •  github.com/Compasschw/Compass  •  joincompasschw.com  •  Updated April 15, 2026</t>
  </si>
  <si>
    <t>Week of Apr 07</t>
  </si>
  <si>
    <t>Week of Apr 13</t>
  </si>
  <si>
    <t>Week of Apr 20</t>
  </si>
  <si>
    <t>Week of Apr 27</t>
  </si>
  <si>
    <t>Phase</t>
  </si>
  <si>
    <t>Task / Feature</t>
  </si>
  <si>
    <t>Start</t>
  </si>
  <si>
    <t>End</t>
  </si>
  <si>
    <t>Days</t>
  </si>
  <si>
    <t>Status</t>
  </si>
  <si>
    <t>Phase 0: Project Init &amp; Original Build (Apr 7–9)</t>
  </si>
  <si>
    <t>Initial commit &amp; repo creation</t>
  </si>
  <si>
    <t>Done</t>
  </si>
  <si>
    <t>Platform init — web app, iOS preview, docs, infra planning</t>
  </si>
  <si>
    <t>Vercel SPA routing config &amp; gitignore</t>
  </si>
  <si>
    <t>Landing page design spec + implementation plan</t>
  </si>
  <si>
    <t>Original landing page sections (NavBar → Footer, 10 components)</t>
  </si>
  <si>
    <t>FastAPI backend scaffold + Pydantic schemas + Alembic</t>
  </si>
  <si>
    <t>Frontend API layer (TanStack Query) + comprehensive audit fixes</t>
  </si>
  <si>
    <t>Auth hardening — .env config, token expiry, email validation</t>
  </si>
  <si>
    <t>Backend hardening — DB rollback, Decimal types, state machine, billing cap</t>
  </si>
  <si>
    <t>Shared components — LoadingSkeleton, EmptyState, format utils</t>
  </si>
  <si>
    <t>Waitlist API endpoint + wire frontend forms</t>
  </si>
  <si>
    <t>AWS production deployment prep + CSP/proxy fixes (7 commits)</t>
  </si>
  <si>
    <t>Wire auth to real backend API + backend tests</t>
  </si>
  <si>
    <t>Rate limiting, CI, wire CHWRequests + earnings + browse endpoints</t>
  </si>
  <si>
    <t>Golden path — end-to-end session lifecycle with real API</t>
  </si>
  <si>
    <t>Auto-unit billing, in-session chat UI, comms research</t>
  </si>
  <si>
    <t>Communication layer — Vonage adapter + security audit fixes</t>
  </si>
  <si>
    <t>Phase 1: Lovable Landing Page Integration (Apr 10–11)</t>
  </si>
  <si>
    <t>Discovered compass-next-chapter Lovable repo, cloned into codebase</t>
  </si>
  <si>
    <t>Copied landing components (Hero, Services, HowItWorks, ForCHWs, MobileFirst, CTA, Footer)</t>
  </si>
  <si>
    <t>Wired waitlist form to FastAPI backend (POST /api/v1/waitlist/ + localStorage fallback)</t>
  </si>
  <si>
    <t>Added framer-motion, class-variance-authority, clsx, tailwind-merge, @radix-ui dependencies</t>
  </si>
  <si>
    <t>Added @/ path alias to vite.config.ts and tsconfig.app.json</t>
  </si>
  <si>
    <t>Merged Tailwind v4 theme with Lovable design tokens (CSS vars, fonts, shadows, gradients)</t>
  </si>
  <si>
    <t>Updated App.tsx routing — new landing at /, /waitlist route, preserved all existing routes</t>
  </si>
  <si>
    <t>Created PR #2, pushed to feat/new-landing-page branch</t>
  </si>
  <si>
    <t>Phase 2: Full Web Frontend UI Migration to Lovable Design (Apr 11–12)</t>
  </si>
  <si>
    <t>Replaced Sidebar + BottomNav with shadcn collapsible sidebar (DashboardSidebar, DashboardLayout)</t>
  </si>
  <si>
    <t>Restyled LoginPage and RegisterPage — Lovable 2-column split, gradient bar, Framer Motion</t>
  </si>
  <si>
    <t>Restyled CHWDashboard and MemberHome — stat card pattern, card lists, staggered animations</t>
  </si>
  <si>
    <t>Restyled CHWSessions (1,477 lines) and MemberSessions (612 lines) — CSS-only, logic preserved</t>
  </si>
  <si>
    <t>Restyled CHWEarnings (bar chart, transaction cards) + CHWRequests (summary stats, filter tabs)</t>
  </si>
  <si>
    <t>Restyled CHWProfile (1,151 lines) + MemberProfile (1,148 lines) — gradient header, info cards</t>
  </si>
  <si>
    <t>Restyled CHWCalendar, MemberCalendar, MemberFind, MemberRoadmap, Onboarding screens</t>
  </si>
  <si>
    <t>Updated Badge, VerticalIcon, StatCard, ErrorBoundary, LoadingSkeleton, WaitlistAdmin</t>
  </si>
  <si>
    <t>Fixed CSS @import order, added container utility for Tailwind v4, added /auth route</t>
  </si>
  <si>
    <t>Added @utility definitions for text-display-xl/lg/md/sm, text-body-lg/md/sm, text-label</t>
  </si>
  <si>
    <t>Wired all CTA buttons to /auth (Hero, CTASection, ForCHWs, MobileFirst)</t>
  </si>
  <si>
    <t>Rewrote LoginPage to match Lovable Auth.tsx (Google/Apple social buttons, sign-up/sign-in toggle)</t>
  </si>
  <si>
    <t>Phase 3: React Native Full Rebuild (Apr 13–14)</t>
  </si>
  <si>
    <t>Created Expo project (CompassCHW-Mobile) with blank-typescript template</t>
  </si>
  <si>
    <t>Installed React Navigation, AsyncStorage, SecureStore, Reanimated, Gesture Handler, Lucide, SVG</t>
  </si>
  <si>
    <t>Built core architecture — theme, API client (JWT + auto-refresh via SecureStore), auth context, mock data</t>
  </si>
  <si>
    <t>Built navigation — AppNavigator (auth-gated), CHWTabNavigator (6 tabs), MemberTabNavigator (6 tabs)</t>
  </si>
  <si>
    <t>Built all 6 CHW screens — Dashboard, Requests, Sessions, Earnings, Profile, Calendar</t>
  </si>
  <si>
    <t>Built all 6 Member screens — Home, FindCHW, Sessions, Roadmap, Profile, Calendar</t>
  </si>
  <si>
    <t>Built auth screens — LoginScreen (sign-in/sign-up, Google/Apple SVG, demo fallback), WaitlistScreen</t>
  </si>
  <si>
    <t>Created Compasschw/CompassCHW-Native GitHub repo, pushed initial codebase</t>
  </si>
  <si>
    <t>Built session doc modal (Z-codes, procedure codes, units stepper, goals, resources, follow-up)</t>
  </si>
  <si>
    <t>Built session chat (FlatList, sent/received bubbles, timestamps) + live timer + consent flow</t>
  </si>
  <si>
    <t>Built CHW onboarding (4-step) + Member onboarding (4-step)</t>
  </si>
  <si>
    <t>Profile editing, earnings scenarios, rewards catalog, request summary stats</t>
  </si>
  <si>
    <t>API modules (conversations, credentials, matching, upload) + shared components + legal screen</t>
  </si>
  <si>
    <t>Milestone: 42 files, 19,356 lines of TypeScript</t>
  </si>
  <si>
    <t>Phase 4: Lovable Design System → React Native (Apr 14–15)</t>
  </si>
  <si>
    <t>Installed DM Sans + Plus Jakarta Sans via @expo-google-fonts, updated App.tsx with useFonts</t>
  </si>
  <si>
    <t>Updated theme — exact Lovable HSL colors, Platform-specific shadows, spacing scale, radii</t>
  </si>
  <si>
    <t>Restyled auth screens + onboarding to match Lovable (card patterns, gradient bars, input styling)</t>
  </si>
  <si>
    <t>Restyled all 12 dashboard screens to match Lovable (cards, badges, fonts, stat patterns, gradients)</t>
  </si>
  <si>
    <t>Updated tab bar styling (active tint, font, shadow)</t>
  </si>
  <si>
    <t>Added mock login fallback (loginMock in AuthContext) for offline demo</t>
  </si>
  <si>
    <t>Built responsive landing page — 2-column hero with CHW/Member toggle, floating stats card</t>
  </si>
  <si>
    <t>Built InfiniteSlider client section + Services section (6-card grid)</t>
  </si>
  <si>
    <t>Built HowItWorks, ForCHWs, MobileFirst, CTA overlay, 4-column Footer sections</t>
  </si>
  <si>
    <t>Added scrollable nav links with measureLayout scroll-to-section</t>
  </si>
  <si>
    <t>Matched waitlist page to Lovable (2-column desktop, dropdown role selector, top navbar)</t>
  </si>
  <si>
    <t>Added compass icon to logo, fixed headline sizes, removed secondary CTA buttons</t>
  </si>
  <si>
    <t>Added Transportation Assistance as 6th service vertical</t>
  </si>
  <si>
    <t>Updated hero stat to '3M+ Medi-Cal Members In Need', removed stats bar from services</t>
  </si>
  <si>
    <t>Fixed CTA image coverage, reduced section spacing by 50%, removed demo login buttons</t>
  </si>
  <si>
    <t>Phase 5: Backend Wiring + Production Deployment (Apr 15)</t>
  </si>
  <si>
    <t>Installed @tanstack/react-query, wrapped app in QueryClientProvider</t>
  </si>
  <si>
    <t>Created useApiQueries.ts — 12 query hooks + 9 mutation hooks with snake/camelCase auto-transform</t>
  </si>
  <si>
    <t>Created caseTransform.ts (transformKeys, toSnakeCase) + ErrorState shared component</t>
  </si>
  <si>
    <t>Wired 6 CHW screens to live API (replaced all mock imports with React Query hooks)</t>
  </si>
  <si>
    <t>Wired 5 Member screens to live API (MemberRoadmap stays mock — no backend goals endpoint)</t>
  </si>
  <si>
    <t>Updated backend CORS to allow Expo dev ports (8082, 19006, 8081)</t>
  </si>
  <si>
    <t>Created .env with EXPO_PUBLIC_API_URL, copied native/ into monorepo, renamed web/ to web-legacy/</t>
  </si>
  <si>
    <t>Added vercel.json with Expo web build config, API proxy, security headers</t>
  </si>
  <si>
    <t>Created PR #3, merged to main, redeployed to joincompasschw.com via Vercel</t>
  </si>
  <si>
    <t>Verified live waitlist submissions recording to PostgreSQL database</t>
  </si>
  <si>
    <t>Planned / Not Yet Built</t>
  </si>
  <si>
    <t>Google/Apple OAuth integration (buttons exist, show 'coming soon')</t>
  </si>
  <si>
    <t>Planned</t>
  </si>
  <si>
    <t>React Native Maps for CHW discovery (needs Google Maps API key + native config)</t>
  </si>
  <si>
    <t>Push notifications (not implemented)</t>
  </si>
  <si>
    <t>Camera/photo upload for profiles and credentials (expo-image-picker installed, not wired)</t>
  </si>
  <si>
    <t>Member goals/roadmap backend API endpoint (screen stays on mock data)</t>
  </si>
  <si>
    <t>Rewards redemption backend API endpoint (stays on mock data)</t>
  </si>
  <si>
    <t>Full credential upload and verification flow (placeholder UI only)</t>
  </si>
  <si>
    <t>iOS/Android App Store builds via EAS Build</t>
  </si>
  <si>
    <t>PWA service worker for offline support</t>
  </si>
  <si>
    <t>Mobile hamburger menu for nav links</t>
  </si>
  <si>
    <t>Phase Legend</t>
  </si>
  <si>
    <t>Project Init &amp; Original Build</t>
  </si>
  <si>
    <t>Lovable Landing Page Integration</t>
  </si>
  <si>
    <t>Full Web Frontend UI Migration</t>
  </si>
  <si>
    <t>React Native Full Rebuild</t>
  </si>
  <si>
    <t>Lovable Design System → React Native</t>
  </si>
  <si>
    <t>Backend Wiring + Production Deployment</t>
  </si>
  <si>
    <t>CompassCHW Project Summary</t>
  </si>
  <si>
    <t>Start Date</t>
  </si>
  <si>
    <t>End Date</t>
  </si>
  <si>
    <t># Tasks</t>
  </si>
  <si>
    <t>Complete</t>
  </si>
  <si>
    <t>TOTAL TASKS</t>
  </si>
  <si>
    <t>Project Stats</t>
  </si>
  <si>
    <t>Project Timeline</t>
  </si>
  <si>
    <t>Apr 7 – Apr 15, 2026 (9 days)</t>
  </si>
  <si>
    <t>Team</t>
  </si>
  <si>
    <t>1 developer + Claude Code AI pair programming</t>
  </si>
  <si>
    <t>Web Frontend</t>
  </si>
  <si>
    <t>React 19 + TypeScript 5.9 + Vite + Tailwind CSS 4</t>
  </si>
  <si>
    <t>Mobile</t>
  </si>
  <si>
    <t>Expo (React Native) — 42 files, 19,356 lines TypeScript</t>
  </si>
  <si>
    <t>Backend</t>
  </si>
  <si>
    <t>Python/FastAPI + PostgreSQL + AWS</t>
  </si>
  <si>
    <t>Deployment</t>
  </si>
  <si>
    <t>Vercel (web) • joincompasschw.com</t>
  </si>
  <si>
    <t>Repo</t>
  </si>
  <si>
    <t>github.com/Compasschw/Compass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</si>
</sst>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"/>
    <numFmt numFmtId="165" formatCode="mmm\ d&quot;, &quot;yyyy"/>
  </numFmts>
  <fonts count="25" x14ac:knownFonts="1">
    <font>
      <sz val="11"/>
      <color theme="1"/>
      <name val="Calibri"/>
      <family val="2"/>
      <charset val="1"/>
    </font>
    <font>
      <b/>
      <sz val="18"/>
      <color rgb="FF1B2A4A"/>
      <name val="Arial"/>
      <family val="2"/>
    </font>
    <font>
      <i/>
      <sz val="9"/>
      <color rgb="FF6B7280"/>
      <name val="Arial"/>
      <family val="2"/>
    </font>
    <font>
      <b/>
      <sz val="8"/>
      <color rgb="FF475569"/>
      <name val="Arial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b/>
      <sz val="11"/>
      <color rgb="FF4338CA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rgb="FF15803D"/>
      <name val="Arial"/>
      <family val="2"/>
    </font>
    <font>
      <b/>
      <sz val="11"/>
      <color rgb="FFB45309"/>
      <name val="Arial"/>
      <family val="2"/>
    </font>
    <font>
      <b/>
      <sz val="11"/>
      <color rgb="FF047857"/>
      <name val="Arial"/>
      <family val="2"/>
    </font>
    <font>
      <b/>
      <sz val="11"/>
      <color rgb="FF1D4ED8"/>
      <name val="Arial"/>
      <family val="2"/>
    </font>
    <font>
      <b/>
      <sz val="11"/>
      <color rgb="FFBE185D"/>
      <name val="Arial"/>
      <family val="2"/>
    </font>
    <font>
      <b/>
      <sz val="11"/>
      <color rgb="FF6D28D9"/>
      <name val="Arial"/>
      <family val="2"/>
    </font>
    <font>
      <b/>
      <sz val="11"/>
      <color rgb="FF6B7280"/>
      <name val="Arial"/>
      <family val="2"/>
    </font>
    <font>
      <b/>
      <sz val="8"/>
      <color rgb="FF9CA3AF"/>
      <name val="Arial"/>
      <family val="2"/>
    </font>
    <font>
      <b/>
      <sz val="11"/>
      <color rgb="FF1B2A4A"/>
      <name val="Arial"/>
      <family val="2"/>
    </font>
    <font>
      <b/>
      <sz val="14"/>
      <color rgb="FF1B2A4A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15803D"/>
      <name val="Arial"/>
      <family val="2"/>
    </font>
    <font>
      <b/>
      <sz val="10"/>
      <color rgb="FF9CA3AF"/>
      <name val="Arial"/>
      <family val="2"/>
    </font>
    <font>
      <b/>
      <sz val="12"/>
      <color rgb="FF1B2A4A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1F5F9"/>
        <bgColor rgb="FFF4F5F6"/>
      </patternFill>
    </fill>
    <fill>
      <patternFill patternType="solid">
        <fgColor rgb="FF1B2A4A"/>
        <bgColor rgb="FF003366"/>
      </patternFill>
    </fill>
    <fill>
      <patternFill patternType="solid">
        <fgColor rgb="FFEEF2FF"/>
        <bgColor rgb="FFEFF6FF"/>
      </patternFill>
    </fill>
    <fill>
      <patternFill patternType="solid">
        <fgColor rgb="FFFFFFFF"/>
        <bgColor rgb="FFF9FAFB"/>
      </patternFill>
    </fill>
    <fill>
      <patternFill patternType="solid">
        <fgColor rgb="FF6366F1"/>
        <bgColor rgb="FF8B5CF6"/>
      </patternFill>
    </fill>
    <fill>
      <patternFill patternType="solid">
        <fgColor rgb="FFF8FAFC"/>
        <bgColor rgb="FFF9FAFB"/>
      </patternFill>
    </fill>
    <fill>
      <patternFill patternType="solid">
        <fgColor rgb="FFFFFBEB"/>
        <bgColor rgb="FFF9FAFB"/>
      </patternFill>
    </fill>
    <fill>
      <patternFill patternType="solid">
        <fgColor rgb="FFF59E0B"/>
        <bgColor rgb="FFFFCC00"/>
      </patternFill>
    </fill>
    <fill>
      <patternFill patternType="solid">
        <fgColor rgb="FFECFDF5"/>
        <bgColor rgb="FFEFF6FF"/>
      </patternFill>
    </fill>
    <fill>
      <patternFill patternType="solid">
        <fgColor rgb="FF10B981"/>
        <bgColor rgb="FF33CCCC"/>
      </patternFill>
    </fill>
    <fill>
      <patternFill patternType="solid">
        <fgColor rgb="FFEFF6FF"/>
        <bgColor rgb="FFF1F5F9"/>
      </patternFill>
    </fill>
    <fill>
      <patternFill patternType="solid">
        <fgColor rgb="FF3B82F6"/>
        <bgColor rgb="FF6366F1"/>
      </patternFill>
    </fill>
    <fill>
      <patternFill patternType="solid">
        <fgColor rgb="FFFDF2F8"/>
        <bgColor rgb="FFF5F3FF"/>
      </patternFill>
    </fill>
    <fill>
      <patternFill patternType="solid">
        <fgColor rgb="FFEC4899"/>
        <bgColor rgb="FFBE185D"/>
      </patternFill>
    </fill>
    <fill>
      <patternFill patternType="solid">
        <fgColor rgb="FFF5F3FF"/>
        <bgColor rgb="FFF1F5F9"/>
      </patternFill>
    </fill>
    <fill>
      <patternFill patternType="solid">
        <fgColor rgb="FF8B5CF6"/>
        <bgColor rgb="FF6366F1"/>
      </patternFill>
    </fill>
    <fill>
      <patternFill patternType="solid">
        <fgColor rgb="FFF9FAFB"/>
        <bgColor rgb="FFF8FAFC"/>
      </patternFill>
    </fill>
    <fill>
      <patternFill patternType="solid">
        <fgColor rgb="FFF4F5F6"/>
        <bgColor rgb="FFF1F5F9"/>
      </patternFill>
    </fill>
    <fill>
      <patternFill patternType="solid">
        <fgColor rgb="FFD1D5DB"/>
        <bgColor rgb="FFE2E8F0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94A3B8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1" fillId="0" borderId="2" xfId="0" applyFont="1" applyBorder="1"/>
    <xf numFmtId="0" fontId="16" fillId="18" borderId="3" xfId="0" applyFont="1" applyFill="1" applyBorder="1" applyAlignment="1">
      <alignment vertical="center"/>
    </xf>
    <xf numFmtId="0" fontId="15" fillId="16" borderId="3" xfId="0" applyFont="1" applyFill="1" applyBorder="1" applyAlignment="1">
      <alignment vertical="center"/>
    </xf>
    <xf numFmtId="0" fontId="14" fillId="14" borderId="3" xfId="0" applyFont="1" applyFill="1" applyBorder="1" applyAlignment="1">
      <alignment vertical="center"/>
    </xf>
    <xf numFmtId="0" fontId="13" fillId="12" borderId="3" xfId="0" applyFont="1" applyFill="1" applyBorder="1" applyAlignment="1">
      <alignment vertical="center"/>
    </xf>
    <xf numFmtId="0" fontId="12" fillId="10" borderId="3" xfId="0" applyFont="1" applyFill="1" applyBorder="1" applyAlignment="1">
      <alignment vertical="center"/>
    </xf>
    <xf numFmtId="0" fontId="11" fillId="8" borderId="3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0" fillId="2" borderId="1" xfId="0" applyFill="1" applyBorder="1"/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4" borderId="3" xfId="0" applyFill="1" applyBorder="1"/>
    <xf numFmtId="0" fontId="0" fillId="5" borderId="1" xfId="0" applyFill="1" applyBorder="1"/>
    <xf numFmtId="0" fontId="7" fillId="5" borderId="1" xfId="0" applyFont="1" applyFill="1" applyBorder="1" applyAlignment="1">
      <alignment vertical="center" wrapText="1"/>
    </xf>
    <xf numFmtId="164" fontId="8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7" borderId="1" xfId="0" applyFill="1" applyBorder="1"/>
    <xf numFmtId="0" fontId="7" fillId="7" borderId="1" xfId="0" applyFont="1" applyFill="1" applyBorder="1" applyAlignment="1">
      <alignment vertical="center" wrapText="1"/>
    </xf>
    <xf numFmtId="164" fontId="8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0" fillId="8" borderId="3" xfId="0" applyFill="1" applyBorder="1"/>
    <xf numFmtId="0" fontId="0" fillId="9" borderId="1" xfId="0" applyFill="1" applyBorder="1"/>
    <xf numFmtId="0" fontId="0" fillId="10" borderId="3" xfId="0" applyFill="1" applyBorder="1"/>
    <xf numFmtId="0" fontId="0" fillId="11" borderId="1" xfId="0" applyFill="1" applyBorder="1"/>
    <xf numFmtId="0" fontId="0" fillId="12" borderId="3" xfId="0" applyFill="1" applyBorder="1"/>
    <xf numFmtId="0" fontId="0" fillId="13" borderId="1" xfId="0" applyFill="1" applyBorder="1"/>
    <xf numFmtId="0" fontId="0" fillId="14" borderId="3" xfId="0" applyFill="1" applyBorder="1"/>
    <xf numFmtId="0" fontId="0" fillId="15" borderId="1" xfId="0" applyFill="1" applyBorder="1"/>
    <xf numFmtId="0" fontId="0" fillId="16" borderId="3" xfId="0" applyFill="1" applyBorder="1"/>
    <xf numFmtId="0" fontId="0" fillId="17" borderId="1" xfId="0" applyFill="1" applyBorder="1"/>
    <xf numFmtId="0" fontId="0" fillId="18" borderId="3" xfId="0" applyFill="1" applyBorder="1"/>
    <xf numFmtId="0" fontId="17" fillId="5" borderId="1" xfId="0" applyFont="1" applyFill="1" applyBorder="1" applyAlignment="1">
      <alignment horizontal="center" vertical="center"/>
    </xf>
    <xf numFmtId="0" fontId="0" fillId="19" borderId="1" xfId="0" applyFill="1" applyBorder="1"/>
    <xf numFmtId="0" fontId="17" fillId="7" borderId="1" xfId="0" applyFont="1" applyFill="1" applyBorder="1" applyAlignment="1">
      <alignment horizontal="center" vertical="center"/>
    </xf>
    <xf numFmtId="0" fontId="18" fillId="0" borderId="0" xfId="0" applyFont="1"/>
    <xf numFmtId="0" fontId="7" fillId="0" borderId="0" xfId="0" applyFont="1"/>
    <xf numFmtId="0" fontId="0" fillId="20" borderId="1" xfId="0" applyFill="1" applyBorder="1"/>
    <xf numFmtId="0" fontId="19" fillId="0" borderId="0" xfId="0" applyFont="1"/>
    <xf numFmtId="0" fontId="4" fillId="3" borderId="1" xfId="0" applyFont="1" applyFill="1" applyBorder="1" applyAlignment="1">
      <alignment horizontal="center" vertical="center"/>
    </xf>
    <xf numFmtId="0" fontId="20" fillId="5" borderId="1" xfId="0" applyFont="1" applyFill="1" applyBorder="1"/>
    <xf numFmtId="165" fontId="21" fillId="5" borderId="1" xfId="0" applyNumberFormat="1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22" fillId="5" borderId="1" xfId="0" applyFont="1" applyFill="1" applyBorder="1" applyAlignment="1">
      <alignment horizontal="center"/>
    </xf>
    <xf numFmtId="0" fontId="20" fillId="7" borderId="1" xfId="0" applyFont="1" applyFill="1" applyBorder="1"/>
    <xf numFmtId="165" fontId="21" fillId="7" borderId="1" xfId="0" applyNumberFormat="1" applyFont="1" applyFill="1" applyBorder="1" applyAlignment="1">
      <alignment horizontal="center"/>
    </xf>
    <xf numFmtId="0" fontId="21" fillId="7" borderId="1" xfId="0" applyFont="1" applyFill="1" applyBorder="1" applyAlignment="1">
      <alignment horizontal="center"/>
    </xf>
    <xf numFmtId="0" fontId="22" fillId="7" borderId="1" xfId="0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/>
    </xf>
    <xf numFmtId="0" fontId="20" fillId="0" borderId="1" xfId="0" applyFont="1" applyBorder="1"/>
    <xf numFmtId="0" fontId="20" fillId="0" borderId="1" xfId="0" applyFont="1" applyBorder="1" applyAlignment="1">
      <alignment horizontal="center"/>
    </xf>
    <xf numFmtId="0" fontId="2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AFB"/>
      <rgbColor rgb="FFFF00FF"/>
      <rgbColor rgb="FF00FFFF"/>
      <rgbColor rgb="FF800000"/>
      <rgbColor rgb="FF15803D"/>
      <rgbColor rgb="FF000080"/>
      <rgbColor rgb="FF808000"/>
      <rgbColor rgb="FF6D28D9"/>
      <rgbColor rgb="FF047857"/>
      <rgbColor rgb="FFEEF2FF"/>
      <rgbColor rgb="FF6366F1"/>
      <rgbColor rgb="FF94A3B8"/>
      <rgbColor rgb="FFBE185D"/>
      <rgbColor rgb="FFFFFBEB"/>
      <rgbColor rgb="FFECFDF5"/>
      <rgbColor rgb="FF660066"/>
      <rgbColor rgb="FFEC4899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E2E8F0"/>
      <rgbColor rgb="FFF4F5F6"/>
      <rgbColor rgb="FFF1F5F9"/>
      <rgbColor rgb="FFF5F3FF"/>
      <rgbColor rgb="FFF8FAFC"/>
      <rgbColor rgb="FFFDF2F8"/>
      <rgbColor rgb="FF3B82F6"/>
      <rgbColor rgb="FF33CCCC"/>
      <rgbColor rgb="FF99CC00"/>
      <rgbColor rgb="FFFFCC00"/>
      <rgbColor rgb="FFF59E0B"/>
      <rgbColor rgb="FFFF6600"/>
      <rgbColor rgb="FF6B7280"/>
      <rgbColor rgb="FF9CA3AF"/>
      <rgbColor rgb="FF003366"/>
      <rgbColor rgb="FF10B981"/>
      <rgbColor rgb="FF003300"/>
      <rgbColor rgb="FF475569"/>
      <rgbColor rgb="FFB45309"/>
      <rgbColor rgb="FF8B5CF6"/>
      <rgbColor rgb="FF4338CA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07"/>
  <sheetViews>
    <sheetView tabSelected="1" zoomScaleNormal="100" workbookViewId="0">
      <pane ySplit="4" topLeftCell="A67" activePane="bottomLeft" state="frozen"/>
      <selection pane="bottomLeft" sqref="A1:AF1"/>
    </sheetView>
  </sheetViews>
  <sheetFormatPr baseColWidth="10" defaultColWidth="8.6640625" defaultRowHeight="15" customHeight="1" x14ac:dyDescent="0.2"/>
  <cols>
    <col min="1" max="1" width="10" customWidth="1"/>
    <col min="2" max="2" width="68" customWidth="1"/>
    <col min="3" max="4" width="12" customWidth="1"/>
    <col min="5" max="5" width="6" customWidth="1"/>
    <col min="6" max="6" width="10" customWidth="1"/>
    <col min="7" max="32" width="3.83203125" customWidth="1"/>
  </cols>
  <sheetData>
    <row r="1" spans="1:32" ht="39.75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ht="19.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ht="18" customHeight="1" x14ac:dyDescent="0.2">
      <c r="A3" s="12"/>
      <c r="B3" s="12"/>
      <c r="C3" s="12"/>
      <c r="D3" s="12"/>
      <c r="E3" s="12"/>
      <c r="F3" s="12"/>
      <c r="G3" s="9" t="s">
        <v>2</v>
      </c>
      <c r="H3" s="9"/>
      <c r="I3" s="9"/>
      <c r="J3" s="9"/>
      <c r="K3" s="9"/>
      <c r="L3" s="9"/>
      <c r="M3" s="9" t="s">
        <v>3</v>
      </c>
      <c r="N3" s="9"/>
      <c r="O3" s="9"/>
      <c r="P3" s="9"/>
      <c r="Q3" s="9"/>
      <c r="R3" s="9"/>
      <c r="S3" s="9"/>
      <c r="T3" s="9" t="s">
        <v>4</v>
      </c>
      <c r="U3" s="9"/>
      <c r="V3" s="9"/>
      <c r="W3" s="9"/>
      <c r="X3" s="9"/>
      <c r="Y3" s="9"/>
      <c r="Z3" s="9"/>
      <c r="AA3" s="9" t="s">
        <v>5</v>
      </c>
      <c r="AB3" s="9"/>
      <c r="AC3" s="9"/>
      <c r="AD3" s="9"/>
      <c r="AE3" s="9"/>
      <c r="AF3" s="9"/>
    </row>
    <row r="4" spans="1:32" ht="27.75" customHeight="1" x14ac:dyDescent="0.2">
      <c r="A4" s="13" t="s">
        <v>6</v>
      </c>
      <c r="B4" s="13" t="s">
        <v>7</v>
      </c>
      <c r="C4" s="13" t="s">
        <v>8</v>
      </c>
      <c r="D4" s="13" t="s">
        <v>9</v>
      </c>
      <c r="E4" s="13" t="s">
        <v>10</v>
      </c>
      <c r="F4" s="13" t="s">
        <v>11</v>
      </c>
      <c r="G4" s="14">
        <v>7</v>
      </c>
      <c r="H4" s="14">
        <v>8</v>
      </c>
      <c r="I4" s="14">
        <v>9</v>
      </c>
      <c r="J4" s="14">
        <v>10</v>
      </c>
      <c r="K4" s="14">
        <v>11</v>
      </c>
      <c r="L4" s="14">
        <v>12</v>
      </c>
      <c r="M4" s="14">
        <v>13</v>
      </c>
      <c r="N4" s="14">
        <v>14</v>
      </c>
      <c r="O4" s="14">
        <v>15</v>
      </c>
      <c r="P4" s="14">
        <v>16</v>
      </c>
      <c r="Q4" s="14">
        <v>17</v>
      </c>
      <c r="R4" s="14">
        <v>18</v>
      </c>
      <c r="S4" s="14">
        <v>19</v>
      </c>
      <c r="T4" s="14">
        <v>20</v>
      </c>
      <c r="U4" s="14">
        <v>21</v>
      </c>
      <c r="V4" s="14">
        <v>22</v>
      </c>
      <c r="W4" s="14">
        <v>23</v>
      </c>
      <c r="X4" s="14">
        <v>24</v>
      </c>
      <c r="Y4" s="14">
        <v>25</v>
      </c>
      <c r="Z4" s="14">
        <v>26</v>
      </c>
      <c r="AA4" s="14">
        <v>27</v>
      </c>
      <c r="AB4" s="14">
        <v>28</v>
      </c>
      <c r="AC4" s="14">
        <v>29</v>
      </c>
      <c r="AD4" s="14">
        <v>30</v>
      </c>
      <c r="AE4" s="14">
        <v>1</v>
      </c>
      <c r="AF4" s="14">
        <v>2</v>
      </c>
    </row>
    <row r="5" spans="1:32" ht="25.5" customHeight="1" x14ac:dyDescent="0.2">
      <c r="A5" s="8" t="s">
        <v>12</v>
      </c>
      <c r="B5" s="8"/>
      <c r="C5" s="8"/>
      <c r="D5" s="8"/>
      <c r="E5" s="8"/>
      <c r="F5" s="8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</row>
    <row r="6" spans="1:32" ht="24" customHeight="1" x14ac:dyDescent="0.2">
      <c r="A6" s="16"/>
      <c r="B6" s="17" t="s">
        <v>13</v>
      </c>
      <c r="C6" s="18">
        <v>46119</v>
      </c>
      <c r="D6" s="18">
        <v>46119</v>
      </c>
      <c r="E6" s="19">
        <f t="shared" ref="E6:E22" si="0">MAX(D6-C6+1,1)</f>
        <v>1</v>
      </c>
      <c r="F6" s="20" t="s">
        <v>14</v>
      </c>
      <c r="G6" s="21"/>
      <c r="H6" s="16"/>
      <c r="I6" s="16"/>
      <c r="J6" s="16"/>
      <c r="K6" s="22"/>
      <c r="L6" s="22"/>
      <c r="M6" s="16"/>
      <c r="N6" s="16"/>
      <c r="O6" s="16"/>
      <c r="P6" s="16"/>
      <c r="Q6" s="16"/>
      <c r="R6" s="22"/>
      <c r="S6" s="22"/>
      <c r="T6" s="16"/>
      <c r="U6" s="16"/>
      <c r="V6" s="16"/>
      <c r="W6" s="16"/>
      <c r="X6" s="16"/>
      <c r="Y6" s="22"/>
      <c r="Z6" s="22"/>
      <c r="AA6" s="16"/>
      <c r="AB6" s="16"/>
      <c r="AC6" s="16"/>
      <c r="AD6" s="16"/>
      <c r="AE6" s="16"/>
      <c r="AF6" s="22"/>
    </row>
    <row r="7" spans="1:32" ht="24" customHeight="1" x14ac:dyDescent="0.2">
      <c r="A7" s="22"/>
      <c r="B7" s="23" t="s">
        <v>15</v>
      </c>
      <c r="C7" s="24">
        <v>46119</v>
      </c>
      <c r="D7" s="24">
        <v>46119</v>
      </c>
      <c r="E7" s="25">
        <f t="shared" si="0"/>
        <v>1</v>
      </c>
      <c r="F7" s="26" t="s">
        <v>14</v>
      </c>
      <c r="G7" s="2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</row>
    <row r="8" spans="1:32" ht="24" customHeight="1" x14ac:dyDescent="0.2">
      <c r="A8" s="16"/>
      <c r="B8" s="17" t="s">
        <v>16</v>
      </c>
      <c r="C8" s="18">
        <v>46119</v>
      </c>
      <c r="D8" s="18">
        <v>46119</v>
      </c>
      <c r="E8" s="19">
        <f t="shared" si="0"/>
        <v>1</v>
      </c>
      <c r="F8" s="20" t="s">
        <v>14</v>
      </c>
      <c r="G8" s="21"/>
      <c r="H8" s="16"/>
      <c r="I8" s="16"/>
      <c r="J8" s="16"/>
      <c r="K8" s="22"/>
      <c r="L8" s="22"/>
      <c r="M8" s="16"/>
      <c r="N8" s="16"/>
      <c r="O8" s="16"/>
      <c r="P8" s="16"/>
      <c r="Q8" s="16"/>
      <c r="R8" s="22"/>
      <c r="S8" s="22"/>
      <c r="T8" s="16"/>
      <c r="U8" s="16"/>
      <c r="V8" s="16"/>
      <c r="W8" s="16"/>
      <c r="X8" s="16"/>
      <c r="Y8" s="22"/>
      <c r="Z8" s="22"/>
      <c r="AA8" s="16"/>
      <c r="AB8" s="16"/>
      <c r="AC8" s="16"/>
      <c r="AD8" s="16"/>
      <c r="AE8" s="16"/>
      <c r="AF8" s="22"/>
    </row>
    <row r="9" spans="1:32" ht="24" customHeight="1" x14ac:dyDescent="0.2">
      <c r="A9" s="22"/>
      <c r="B9" s="23" t="s">
        <v>17</v>
      </c>
      <c r="C9" s="24">
        <v>46119</v>
      </c>
      <c r="D9" s="24">
        <v>46120</v>
      </c>
      <c r="E9" s="25">
        <f t="shared" si="0"/>
        <v>2</v>
      </c>
      <c r="F9" s="26" t="s">
        <v>14</v>
      </c>
      <c r="G9" s="21"/>
      <c r="H9" s="21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</row>
    <row r="10" spans="1:32" ht="24" customHeight="1" x14ac:dyDescent="0.2">
      <c r="A10" s="16"/>
      <c r="B10" s="17" t="s">
        <v>18</v>
      </c>
      <c r="C10" s="18">
        <v>46120</v>
      </c>
      <c r="D10" s="18">
        <v>46120</v>
      </c>
      <c r="E10" s="19">
        <f t="shared" si="0"/>
        <v>1</v>
      </c>
      <c r="F10" s="20" t="s">
        <v>14</v>
      </c>
      <c r="G10" s="16"/>
      <c r="H10" s="21"/>
      <c r="I10" s="16"/>
      <c r="J10" s="16"/>
      <c r="K10" s="22"/>
      <c r="L10" s="22"/>
      <c r="M10" s="16"/>
      <c r="N10" s="16"/>
      <c r="O10" s="16"/>
      <c r="P10" s="16"/>
      <c r="Q10" s="16"/>
      <c r="R10" s="22"/>
      <c r="S10" s="22"/>
      <c r="T10" s="16"/>
      <c r="U10" s="16"/>
      <c r="V10" s="16"/>
      <c r="W10" s="16"/>
      <c r="X10" s="16"/>
      <c r="Y10" s="22"/>
      <c r="Z10" s="22"/>
      <c r="AA10" s="16"/>
      <c r="AB10" s="16"/>
      <c r="AC10" s="16"/>
      <c r="AD10" s="16"/>
      <c r="AE10" s="16"/>
      <c r="AF10" s="22"/>
    </row>
    <row r="11" spans="1:32" ht="24" customHeight="1" x14ac:dyDescent="0.2">
      <c r="A11" s="22"/>
      <c r="B11" s="23" t="s">
        <v>19</v>
      </c>
      <c r="C11" s="24">
        <v>46120</v>
      </c>
      <c r="D11" s="24">
        <v>46120</v>
      </c>
      <c r="E11" s="25">
        <f t="shared" si="0"/>
        <v>1</v>
      </c>
      <c r="F11" s="26" t="s">
        <v>14</v>
      </c>
      <c r="G11" s="22"/>
      <c r="H11" s="21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ht="24" customHeight="1" x14ac:dyDescent="0.2">
      <c r="A12" s="16"/>
      <c r="B12" s="17" t="s">
        <v>20</v>
      </c>
      <c r="C12" s="18">
        <v>46120</v>
      </c>
      <c r="D12" s="18">
        <v>46120</v>
      </c>
      <c r="E12" s="19">
        <f t="shared" si="0"/>
        <v>1</v>
      </c>
      <c r="F12" s="20" t="s">
        <v>14</v>
      </c>
      <c r="G12" s="16"/>
      <c r="H12" s="21"/>
      <c r="I12" s="16"/>
      <c r="J12" s="16"/>
      <c r="K12" s="22"/>
      <c r="L12" s="22"/>
      <c r="M12" s="16"/>
      <c r="N12" s="16"/>
      <c r="O12" s="16"/>
      <c r="P12" s="16"/>
      <c r="Q12" s="16"/>
      <c r="R12" s="22"/>
      <c r="S12" s="22"/>
      <c r="T12" s="16"/>
      <c r="U12" s="16"/>
      <c r="V12" s="16"/>
      <c r="W12" s="16"/>
      <c r="X12" s="16"/>
      <c r="Y12" s="22"/>
      <c r="Z12" s="22"/>
      <c r="AA12" s="16"/>
      <c r="AB12" s="16"/>
      <c r="AC12" s="16"/>
      <c r="AD12" s="16"/>
      <c r="AE12" s="16"/>
      <c r="AF12" s="22"/>
    </row>
    <row r="13" spans="1:32" ht="24" customHeight="1" x14ac:dyDescent="0.2">
      <c r="A13" s="22"/>
      <c r="B13" s="23" t="s">
        <v>21</v>
      </c>
      <c r="C13" s="24">
        <v>46121</v>
      </c>
      <c r="D13" s="24">
        <v>46121</v>
      </c>
      <c r="E13" s="25">
        <f t="shared" si="0"/>
        <v>1</v>
      </c>
      <c r="F13" s="26" t="s">
        <v>14</v>
      </c>
      <c r="G13" s="22"/>
      <c r="H13" s="22"/>
      <c r="I13" s="21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</row>
    <row r="14" spans="1:32" ht="24" customHeight="1" x14ac:dyDescent="0.2">
      <c r="A14" s="16"/>
      <c r="B14" s="17" t="s">
        <v>22</v>
      </c>
      <c r="C14" s="18">
        <v>46121</v>
      </c>
      <c r="D14" s="18">
        <v>46121</v>
      </c>
      <c r="E14" s="19">
        <f t="shared" si="0"/>
        <v>1</v>
      </c>
      <c r="F14" s="20" t="s">
        <v>14</v>
      </c>
      <c r="G14" s="16"/>
      <c r="H14" s="16"/>
      <c r="I14" s="21"/>
      <c r="J14" s="16"/>
      <c r="K14" s="22"/>
      <c r="L14" s="22"/>
      <c r="M14" s="16"/>
      <c r="N14" s="16"/>
      <c r="O14" s="16"/>
      <c r="P14" s="16"/>
      <c r="Q14" s="16"/>
      <c r="R14" s="22"/>
      <c r="S14" s="22"/>
      <c r="T14" s="16"/>
      <c r="U14" s="16"/>
      <c r="V14" s="16"/>
      <c r="W14" s="16"/>
      <c r="X14" s="16"/>
      <c r="Y14" s="22"/>
      <c r="Z14" s="22"/>
      <c r="AA14" s="16"/>
      <c r="AB14" s="16"/>
      <c r="AC14" s="16"/>
      <c r="AD14" s="16"/>
      <c r="AE14" s="16"/>
      <c r="AF14" s="22"/>
    </row>
    <row r="15" spans="1:32" ht="24" customHeight="1" x14ac:dyDescent="0.2">
      <c r="A15" s="22"/>
      <c r="B15" s="23" t="s">
        <v>23</v>
      </c>
      <c r="C15" s="24">
        <v>46121</v>
      </c>
      <c r="D15" s="24">
        <v>46121</v>
      </c>
      <c r="E15" s="25">
        <f t="shared" si="0"/>
        <v>1</v>
      </c>
      <c r="F15" s="26" t="s">
        <v>14</v>
      </c>
      <c r="G15" s="22"/>
      <c r="H15" s="22"/>
      <c r="I15" s="21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</row>
    <row r="16" spans="1:32" ht="24" customHeight="1" x14ac:dyDescent="0.2">
      <c r="A16" s="16"/>
      <c r="B16" s="17" t="s">
        <v>24</v>
      </c>
      <c r="C16" s="18">
        <v>46121</v>
      </c>
      <c r="D16" s="18">
        <v>46121</v>
      </c>
      <c r="E16" s="19">
        <f t="shared" si="0"/>
        <v>1</v>
      </c>
      <c r="F16" s="20" t="s">
        <v>14</v>
      </c>
      <c r="G16" s="16"/>
      <c r="H16" s="16"/>
      <c r="I16" s="21"/>
      <c r="J16" s="16"/>
      <c r="K16" s="22"/>
      <c r="L16" s="22"/>
      <c r="M16" s="16"/>
      <c r="N16" s="16"/>
      <c r="O16" s="16"/>
      <c r="P16" s="16"/>
      <c r="Q16" s="16"/>
      <c r="R16" s="22"/>
      <c r="S16" s="22"/>
      <c r="T16" s="16"/>
      <c r="U16" s="16"/>
      <c r="V16" s="16"/>
      <c r="W16" s="16"/>
      <c r="X16" s="16"/>
      <c r="Y16" s="22"/>
      <c r="Z16" s="22"/>
      <c r="AA16" s="16"/>
      <c r="AB16" s="16"/>
      <c r="AC16" s="16"/>
      <c r="AD16" s="16"/>
      <c r="AE16" s="16"/>
      <c r="AF16" s="22"/>
    </row>
    <row r="17" spans="1:32" ht="24" customHeight="1" x14ac:dyDescent="0.2">
      <c r="A17" s="22"/>
      <c r="B17" s="23" t="s">
        <v>25</v>
      </c>
      <c r="C17" s="24">
        <v>46121</v>
      </c>
      <c r="D17" s="24">
        <v>46121</v>
      </c>
      <c r="E17" s="25">
        <f t="shared" si="0"/>
        <v>1</v>
      </c>
      <c r="F17" s="26" t="s">
        <v>14</v>
      </c>
      <c r="G17" s="22"/>
      <c r="H17" s="22"/>
      <c r="I17" s="21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</row>
    <row r="18" spans="1:32" ht="24" customHeight="1" x14ac:dyDescent="0.2">
      <c r="A18" s="16"/>
      <c r="B18" s="17" t="s">
        <v>26</v>
      </c>
      <c r="C18" s="18">
        <v>46121</v>
      </c>
      <c r="D18" s="18">
        <v>46121</v>
      </c>
      <c r="E18" s="19">
        <f t="shared" si="0"/>
        <v>1</v>
      </c>
      <c r="F18" s="20" t="s">
        <v>14</v>
      </c>
      <c r="G18" s="16"/>
      <c r="H18" s="16"/>
      <c r="I18" s="21"/>
      <c r="J18" s="16"/>
      <c r="K18" s="22"/>
      <c r="L18" s="22"/>
      <c r="M18" s="16"/>
      <c r="N18" s="16"/>
      <c r="O18" s="16"/>
      <c r="P18" s="16"/>
      <c r="Q18" s="16"/>
      <c r="R18" s="22"/>
      <c r="S18" s="22"/>
      <c r="T18" s="16"/>
      <c r="U18" s="16"/>
      <c r="V18" s="16"/>
      <c r="W18" s="16"/>
      <c r="X18" s="16"/>
      <c r="Y18" s="22"/>
      <c r="Z18" s="22"/>
      <c r="AA18" s="16"/>
      <c r="AB18" s="16"/>
      <c r="AC18" s="16"/>
      <c r="AD18" s="16"/>
      <c r="AE18" s="16"/>
      <c r="AF18" s="22"/>
    </row>
    <row r="19" spans="1:32" ht="24" customHeight="1" x14ac:dyDescent="0.2">
      <c r="A19" s="22"/>
      <c r="B19" s="23" t="s">
        <v>27</v>
      </c>
      <c r="C19" s="24">
        <v>46122</v>
      </c>
      <c r="D19" s="24">
        <v>46122</v>
      </c>
      <c r="E19" s="25">
        <f t="shared" si="0"/>
        <v>1</v>
      </c>
      <c r="F19" s="26" t="s">
        <v>14</v>
      </c>
      <c r="G19" s="22"/>
      <c r="H19" s="22"/>
      <c r="I19" s="22"/>
      <c r="J19" s="21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</row>
    <row r="20" spans="1:32" ht="24" customHeight="1" x14ac:dyDescent="0.2">
      <c r="A20" s="16"/>
      <c r="B20" s="17" t="s">
        <v>28</v>
      </c>
      <c r="C20" s="18">
        <v>46122</v>
      </c>
      <c r="D20" s="18">
        <v>46122</v>
      </c>
      <c r="E20" s="19">
        <f t="shared" si="0"/>
        <v>1</v>
      </c>
      <c r="F20" s="20" t="s">
        <v>14</v>
      </c>
      <c r="G20" s="16"/>
      <c r="H20" s="16"/>
      <c r="I20" s="16"/>
      <c r="J20" s="21"/>
      <c r="K20" s="22"/>
      <c r="L20" s="22"/>
      <c r="M20" s="16"/>
      <c r="N20" s="16"/>
      <c r="O20" s="16"/>
      <c r="P20" s="16"/>
      <c r="Q20" s="16"/>
      <c r="R20" s="22"/>
      <c r="S20" s="22"/>
      <c r="T20" s="16"/>
      <c r="U20" s="16"/>
      <c r="V20" s="16"/>
      <c r="W20" s="16"/>
      <c r="X20" s="16"/>
      <c r="Y20" s="22"/>
      <c r="Z20" s="22"/>
      <c r="AA20" s="16"/>
      <c r="AB20" s="16"/>
      <c r="AC20" s="16"/>
      <c r="AD20" s="16"/>
      <c r="AE20" s="16"/>
      <c r="AF20" s="22"/>
    </row>
    <row r="21" spans="1:32" ht="24" customHeight="1" x14ac:dyDescent="0.2">
      <c r="A21" s="22"/>
      <c r="B21" s="23" t="s">
        <v>29</v>
      </c>
      <c r="C21" s="24">
        <v>46122</v>
      </c>
      <c r="D21" s="24">
        <v>46122</v>
      </c>
      <c r="E21" s="25">
        <f t="shared" si="0"/>
        <v>1</v>
      </c>
      <c r="F21" s="26" t="s">
        <v>14</v>
      </c>
      <c r="G21" s="22"/>
      <c r="H21" s="22"/>
      <c r="I21" s="22"/>
      <c r="J21" s="21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</row>
    <row r="22" spans="1:32" ht="24" customHeight="1" x14ac:dyDescent="0.2">
      <c r="A22" s="16"/>
      <c r="B22" s="17" t="s">
        <v>30</v>
      </c>
      <c r="C22" s="18">
        <v>46122</v>
      </c>
      <c r="D22" s="18">
        <v>46122</v>
      </c>
      <c r="E22" s="19">
        <f t="shared" si="0"/>
        <v>1</v>
      </c>
      <c r="F22" s="20" t="s">
        <v>14</v>
      </c>
      <c r="G22" s="16"/>
      <c r="H22" s="16"/>
      <c r="I22" s="16"/>
      <c r="J22" s="21"/>
      <c r="K22" s="22"/>
      <c r="L22" s="22"/>
      <c r="M22" s="16"/>
      <c r="N22" s="16"/>
      <c r="O22" s="16"/>
      <c r="P22" s="16"/>
      <c r="Q22" s="16"/>
      <c r="R22" s="22"/>
      <c r="S22" s="22"/>
      <c r="T22" s="16"/>
      <c r="U22" s="16"/>
      <c r="V22" s="16"/>
      <c r="W22" s="16"/>
      <c r="X22" s="16"/>
      <c r="Y22" s="22"/>
      <c r="Z22" s="22"/>
      <c r="AA22" s="16"/>
      <c r="AB22" s="16"/>
      <c r="AC22" s="16"/>
      <c r="AD22" s="16"/>
      <c r="AE22" s="16"/>
      <c r="AF22" s="22"/>
    </row>
    <row r="23" spans="1:32" ht="25.5" customHeight="1" x14ac:dyDescent="0.2">
      <c r="A23" s="7" t="s">
        <v>31</v>
      </c>
      <c r="B23" s="7"/>
      <c r="C23" s="7"/>
      <c r="D23" s="7"/>
      <c r="E23" s="7"/>
      <c r="F23" s="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</row>
    <row r="24" spans="1:32" ht="24" customHeight="1" x14ac:dyDescent="0.2">
      <c r="A24" s="16"/>
      <c r="B24" s="17" t="s">
        <v>32</v>
      </c>
      <c r="C24" s="18">
        <v>46122</v>
      </c>
      <c r="D24" s="18">
        <v>46122</v>
      </c>
      <c r="E24" s="19">
        <f t="shared" ref="E24:E31" si="1">MAX(D24-C24+1,1)</f>
        <v>1</v>
      </c>
      <c r="F24" s="20" t="s">
        <v>14</v>
      </c>
      <c r="G24" s="16"/>
      <c r="H24" s="16"/>
      <c r="I24" s="16"/>
      <c r="J24" s="28"/>
      <c r="K24" s="22"/>
      <c r="L24" s="22"/>
      <c r="M24" s="16"/>
      <c r="N24" s="16"/>
      <c r="O24" s="16"/>
      <c r="P24" s="16"/>
      <c r="Q24" s="16"/>
      <c r="R24" s="22"/>
      <c r="S24" s="22"/>
      <c r="T24" s="16"/>
      <c r="U24" s="16"/>
      <c r="V24" s="16"/>
      <c r="W24" s="16"/>
      <c r="X24" s="16"/>
      <c r="Y24" s="22"/>
      <c r="Z24" s="22"/>
      <c r="AA24" s="16"/>
      <c r="AB24" s="16"/>
      <c r="AC24" s="16"/>
      <c r="AD24" s="16"/>
      <c r="AE24" s="16"/>
      <c r="AF24" s="22"/>
    </row>
    <row r="25" spans="1:32" ht="24" customHeight="1" x14ac:dyDescent="0.2">
      <c r="A25" s="22"/>
      <c r="B25" s="23" t="s">
        <v>33</v>
      </c>
      <c r="C25" s="24">
        <v>46122</v>
      </c>
      <c r="D25" s="24">
        <v>46122</v>
      </c>
      <c r="E25" s="25">
        <f t="shared" si="1"/>
        <v>1</v>
      </c>
      <c r="F25" s="26" t="s">
        <v>14</v>
      </c>
      <c r="G25" s="22"/>
      <c r="H25" s="22"/>
      <c r="I25" s="22"/>
      <c r="J25" s="28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</row>
    <row r="26" spans="1:32" ht="24" customHeight="1" x14ac:dyDescent="0.2">
      <c r="A26" s="16"/>
      <c r="B26" s="17" t="s">
        <v>34</v>
      </c>
      <c r="C26" s="18">
        <v>46122</v>
      </c>
      <c r="D26" s="18">
        <v>46122</v>
      </c>
      <c r="E26" s="19">
        <f t="shared" si="1"/>
        <v>1</v>
      </c>
      <c r="F26" s="20" t="s">
        <v>14</v>
      </c>
      <c r="G26" s="16"/>
      <c r="H26" s="16"/>
      <c r="I26" s="16"/>
      <c r="J26" s="28"/>
      <c r="K26" s="22"/>
      <c r="L26" s="22"/>
      <c r="M26" s="16"/>
      <c r="N26" s="16"/>
      <c r="O26" s="16"/>
      <c r="P26" s="16"/>
      <c r="Q26" s="16"/>
      <c r="R26" s="22"/>
      <c r="S26" s="22"/>
      <c r="T26" s="16"/>
      <c r="U26" s="16"/>
      <c r="V26" s="16"/>
      <c r="W26" s="16"/>
      <c r="X26" s="16"/>
      <c r="Y26" s="22"/>
      <c r="Z26" s="22"/>
      <c r="AA26" s="16"/>
      <c r="AB26" s="16"/>
      <c r="AC26" s="16"/>
      <c r="AD26" s="16"/>
      <c r="AE26" s="16"/>
      <c r="AF26" s="22"/>
    </row>
    <row r="27" spans="1:32" ht="24" customHeight="1" x14ac:dyDescent="0.2">
      <c r="A27" s="22"/>
      <c r="B27" s="23" t="s">
        <v>35</v>
      </c>
      <c r="C27" s="24">
        <v>46122</v>
      </c>
      <c r="D27" s="24">
        <v>46122</v>
      </c>
      <c r="E27" s="25">
        <f t="shared" si="1"/>
        <v>1</v>
      </c>
      <c r="F27" s="26" t="s">
        <v>14</v>
      </c>
      <c r="G27" s="22"/>
      <c r="H27" s="22"/>
      <c r="I27" s="22"/>
      <c r="J27" s="28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</row>
    <row r="28" spans="1:32" ht="24" customHeight="1" x14ac:dyDescent="0.2">
      <c r="A28" s="16"/>
      <c r="B28" s="17" t="s">
        <v>36</v>
      </c>
      <c r="C28" s="18">
        <v>46122</v>
      </c>
      <c r="D28" s="18">
        <v>46122</v>
      </c>
      <c r="E28" s="19">
        <f t="shared" si="1"/>
        <v>1</v>
      </c>
      <c r="F28" s="20" t="s">
        <v>14</v>
      </c>
      <c r="G28" s="16"/>
      <c r="H28" s="16"/>
      <c r="I28" s="16"/>
      <c r="J28" s="28"/>
      <c r="K28" s="22"/>
      <c r="L28" s="22"/>
      <c r="M28" s="16"/>
      <c r="N28" s="16"/>
      <c r="O28" s="16"/>
      <c r="P28" s="16"/>
      <c r="Q28" s="16"/>
      <c r="R28" s="22"/>
      <c r="S28" s="22"/>
      <c r="T28" s="16"/>
      <c r="U28" s="16"/>
      <c r="V28" s="16"/>
      <c r="W28" s="16"/>
      <c r="X28" s="16"/>
      <c r="Y28" s="22"/>
      <c r="Z28" s="22"/>
      <c r="AA28" s="16"/>
      <c r="AB28" s="16"/>
      <c r="AC28" s="16"/>
      <c r="AD28" s="16"/>
      <c r="AE28" s="16"/>
      <c r="AF28" s="22"/>
    </row>
    <row r="29" spans="1:32" ht="24" customHeight="1" x14ac:dyDescent="0.2">
      <c r="A29" s="22"/>
      <c r="B29" s="23" t="s">
        <v>37</v>
      </c>
      <c r="C29" s="24">
        <v>46122</v>
      </c>
      <c r="D29" s="24">
        <v>46122</v>
      </c>
      <c r="E29" s="25">
        <f t="shared" si="1"/>
        <v>1</v>
      </c>
      <c r="F29" s="26" t="s">
        <v>14</v>
      </c>
      <c r="G29" s="22"/>
      <c r="H29" s="22"/>
      <c r="I29" s="22"/>
      <c r="J29" s="28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</row>
    <row r="30" spans="1:32" ht="24" customHeight="1" x14ac:dyDescent="0.2">
      <c r="A30" s="16"/>
      <c r="B30" s="17" t="s">
        <v>38</v>
      </c>
      <c r="C30" s="18">
        <v>46122</v>
      </c>
      <c r="D30" s="18">
        <v>46122</v>
      </c>
      <c r="E30" s="19">
        <f t="shared" si="1"/>
        <v>1</v>
      </c>
      <c r="F30" s="20" t="s">
        <v>14</v>
      </c>
      <c r="G30" s="16"/>
      <c r="H30" s="16"/>
      <c r="I30" s="16"/>
      <c r="J30" s="28"/>
      <c r="K30" s="22"/>
      <c r="L30" s="22"/>
      <c r="M30" s="16"/>
      <c r="N30" s="16"/>
      <c r="O30" s="16"/>
      <c r="P30" s="16"/>
      <c r="Q30" s="16"/>
      <c r="R30" s="22"/>
      <c r="S30" s="22"/>
      <c r="T30" s="16"/>
      <c r="U30" s="16"/>
      <c r="V30" s="16"/>
      <c r="W30" s="16"/>
      <c r="X30" s="16"/>
      <c r="Y30" s="22"/>
      <c r="Z30" s="22"/>
      <c r="AA30" s="16"/>
      <c r="AB30" s="16"/>
      <c r="AC30" s="16"/>
      <c r="AD30" s="16"/>
      <c r="AE30" s="16"/>
      <c r="AF30" s="22"/>
    </row>
    <row r="31" spans="1:32" ht="24" customHeight="1" x14ac:dyDescent="0.2">
      <c r="A31" s="22"/>
      <c r="B31" s="23" t="s">
        <v>39</v>
      </c>
      <c r="C31" s="24">
        <v>46123</v>
      </c>
      <c r="D31" s="24">
        <v>46123</v>
      </c>
      <c r="E31" s="25">
        <f t="shared" si="1"/>
        <v>1</v>
      </c>
      <c r="F31" s="26" t="s">
        <v>14</v>
      </c>
      <c r="G31" s="22"/>
      <c r="H31" s="22"/>
      <c r="I31" s="22"/>
      <c r="J31" s="22"/>
      <c r="K31" s="28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</row>
    <row r="32" spans="1:32" ht="25.5" customHeight="1" x14ac:dyDescent="0.2">
      <c r="A32" s="6" t="s">
        <v>40</v>
      </c>
      <c r="B32" s="6"/>
      <c r="C32" s="6"/>
      <c r="D32" s="6"/>
      <c r="E32" s="6"/>
      <c r="F32" s="6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</row>
    <row r="33" spans="1:32" ht="24" customHeight="1" x14ac:dyDescent="0.2">
      <c r="A33" s="16"/>
      <c r="B33" s="17" t="s">
        <v>41</v>
      </c>
      <c r="C33" s="18">
        <v>46123</v>
      </c>
      <c r="D33" s="18">
        <v>46123</v>
      </c>
      <c r="E33" s="19">
        <f t="shared" ref="E33:E44" si="2">MAX(D33-C33+1,1)</f>
        <v>1</v>
      </c>
      <c r="F33" s="20" t="s">
        <v>14</v>
      </c>
      <c r="G33" s="16"/>
      <c r="H33" s="16"/>
      <c r="I33" s="16"/>
      <c r="J33" s="16"/>
      <c r="K33" s="30"/>
      <c r="L33" s="22"/>
      <c r="M33" s="16"/>
      <c r="N33" s="16"/>
      <c r="O33" s="16"/>
      <c r="P33" s="16"/>
      <c r="Q33" s="16"/>
      <c r="R33" s="22"/>
      <c r="S33" s="22"/>
      <c r="T33" s="16"/>
      <c r="U33" s="16"/>
      <c r="V33" s="16"/>
      <c r="W33" s="16"/>
      <c r="X33" s="16"/>
      <c r="Y33" s="22"/>
      <c r="Z33" s="22"/>
      <c r="AA33" s="16"/>
      <c r="AB33" s="16"/>
      <c r="AC33" s="16"/>
      <c r="AD33" s="16"/>
      <c r="AE33" s="16"/>
      <c r="AF33" s="22"/>
    </row>
    <row r="34" spans="1:32" ht="24" customHeight="1" x14ac:dyDescent="0.2">
      <c r="A34" s="22"/>
      <c r="B34" s="23" t="s">
        <v>42</v>
      </c>
      <c r="C34" s="24">
        <v>46123</v>
      </c>
      <c r="D34" s="24">
        <v>46123</v>
      </c>
      <c r="E34" s="25">
        <f t="shared" si="2"/>
        <v>1</v>
      </c>
      <c r="F34" s="26" t="s">
        <v>14</v>
      </c>
      <c r="G34" s="22"/>
      <c r="H34" s="22"/>
      <c r="I34" s="22"/>
      <c r="J34" s="22"/>
      <c r="K34" s="30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</row>
    <row r="35" spans="1:32" ht="24" customHeight="1" x14ac:dyDescent="0.2">
      <c r="A35" s="16"/>
      <c r="B35" s="17" t="s">
        <v>43</v>
      </c>
      <c r="C35" s="18">
        <v>46123</v>
      </c>
      <c r="D35" s="18">
        <v>46123</v>
      </c>
      <c r="E35" s="19">
        <f t="shared" si="2"/>
        <v>1</v>
      </c>
      <c r="F35" s="20" t="s">
        <v>14</v>
      </c>
      <c r="G35" s="16"/>
      <c r="H35" s="16"/>
      <c r="I35" s="16"/>
      <c r="J35" s="16"/>
      <c r="K35" s="30"/>
      <c r="L35" s="22"/>
      <c r="M35" s="16"/>
      <c r="N35" s="16"/>
      <c r="O35" s="16"/>
      <c r="P35" s="16"/>
      <c r="Q35" s="16"/>
      <c r="R35" s="22"/>
      <c r="S35" s="22"/>
      <c r="T35" s="16"/>
      <c r="U35" s="16"/>
      <c r="V35" s="16"/>
      <c r="W35" s="16"/>
      <c r="X35" s="16"/>
      <c r="Y35" s="22"/>
      <c r="Z35" s="22"/>
      <c r="AA35" s="16"/>
      <c r="AB35" s="16"/>
      <c r="AC35" s="16"/>
      <c r="AD35" s="16"/>
      <c r="AE35" s="16"/>
      <c r="AF35" s="22"/>
    </row>
    <row r="36" spans="1:32" ht="24" customHeight="1" x14ac:dyDescent="0.2">
      <c r="A36" s="22"/>
      <c r="B36" s="23" t="s">
        <v>44</v>
      </c>
      <c r="C36" s="24">
        <v>46123</v>
      </c>
      <c r="D36" s="24">
        <v>46123</v>
      </c>
      <c r="E36" s="25">
        <f t="shared" si="2"/>
        <v>1</v>
      </c>
      <c r="F36" s="26" t="s">
        <v>14</v>
      </c>
      <c r="G36" s="22"/>
      <c r="H36" s="22"/>
      <c r="I36" s="22"/>
      <c r="J36" s="22"/>
      <c r="K36" s="30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</row>
    <row r="37" spans="1:32" ht="24" customHeight="1" x14ac:dyDescent="0.2">
      <c r="A37" s="16"/>
      <c r="B37" s="17" t="s">
        <v>45</v>
      </c>
      <c r="C37" s="18">
        <v>46123</v>
      </c>
      <c r="D37" s="18">
        <v>46123</v>
      </c>
      <c r="E37" s="19">
        <f t="shared" si="2"/>
        <v>1</v>
      </c>
      <c r="F37" s="20" t="s">
        <v>14</v>
      </c>
      <c r="G37" s="16"/>
      <c r="H37" s="16"/>
      <c r="I37" s="16"/>
      <c r="J37" s="16"/>
      <c r="K37" s="30"/>
      <c r="L37" s="22"/>
      <c r="M37" s="16"/>
      <c r="N37" s="16"/>
      <c r="O37" s="16"/>
      <c r="P37" s="16"/>
      <c r="Q37" s="16"/>
      <c r="R37" s="22"/>
      <c r="S37" s="22"/>
      <c r="T37" s="16"/>
      <c r="U37" s="16"/>
      <c r="V37" s="16"/>
      <c r="W37" s="16"/>
      <c r="X37" s="16"/>
      <c r="Y37" s="22"/>
      <c r="Z37" s="22"/>
      <c r="AA37" s="16"/>
      <c r="AB37" s="16"/>
      <c r="AC37" s="16"/>
      <c r="AD37" s="16"/>
      <c r="AE37" s="16"/>
      <c r="AF37" s="22"/>
    </row>
    <row r="38" spans="1:32" ht="24" customHeight="1" x14ac:dyDescent="0.2">
      <c r="A38" s="22"/>
      <c r="B38" s="23" t="s">
        <v>46</v>
      </c>
      <c r="C38" s="24">
        <v>46123</v>
      </c>
      <c r="D38" s="24">
        <v>46123</v>
      </c>
      <c r="E38" s="25">
        <f t="shared" si="2"/>
        <v>1</v>
      </c>
      <c r="F38" s="26" t="s">
        <v>14</v>
      </c>
      <c r="G38" s="22"/>
      <c r="H38" s="22"/>
      <c r="I38" s="22"/>
      <c r="J38" s="22"/>
      <c r="K38" s="30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</row>
    <row r="39" spans="1:32" ht="24" customHeight="1" x14ac:dyDescent="0.2">
      <c r="A39" s="16"/>
      <c r="B39" s="17" t="s">
        <v>47</v>
      </c>
      <c r="C39" s="18">
        <v>46123</v>
      </c>
      <c r="D39" s="18">
        <v>46123</v>
      </c>
      <c r="E39" s="19">
        <f t="shared" si="2"/>
        <v>1</v>
      </c>
      <c r="F39" s="20" t="s">
        <v>14</v>
      </c>
      <c r="G39" s="16"/>
      <c r="H39" s="16"/>
      <c r="I39" s="16"/>
      <c r="J39" s="16"/>
      <c r="K39" s="30"/>
      <c r="L39" s="22"/>
      <c r="M39" s="16"/>
      <c r="N39" s="16"/>
      <c r="O39" s="16"/>
      <c r="P39" s="16"/>
      <c r="Q39" s="16"/>
      <c r="R39" s="22"/>
      <c r="S39" s="22"/>
      <c r="T39" s="16"/>
      <c r="U39" s="16"/>
      <c r="V39" s="16"/>
      <c r="W39" s="16"/>
      <c r="X39" s="16"/>
      <c r="Y39" s="22"/>
      <c r="Z39" s="22"/>
      <c r="AA39" s="16"/>
      <c r="AB39" s="16"/>
      <c r="AC39" s="16"/>
      <c r="AD39" s="16"/>
      <c r="AE39" s="16"/>
      <c r="AF39" s="22"/>
    </row>
    <row r="40" spans="1:32" ht="24" customHeight="1" x14ac:dyDescent="0.2">
      <c r="A40" s="22"/>
      <c r="B40" s="23" t="s">
        <v>48</v>
      </c>
      <c r="C40" s="24">
        <v>46123</v>
      </c>
      <c r="D40" s="24">
        <v>46123</v>
      </c>
      <c r="E40" s="25">
        <f t="shared" si="2"/>
        <v>1</v>
      </c>
      <c r="F40" s="26" t="s">
        <v>14</v>
      </c>
      <c r="G40" s="22"/>
      <c r="H40" s="22"/>
      <c r="I40" s="22"/>
      <c r="J40" s="22"/>
      <c r="K40" s="30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</row>
    <row r="41" spans="1:32" ht="24" customHeight="1" x14ac:dyDescent="0.2">
      <c r="A41" s="16"/>
      <c r="B41" s="17" t="s">
        <v>49</v>
      </c>
      <c r="C41" s="18">
        <v>46124</v>
      </c>
      <c r="D41" s="18">
        <v>46124</v>
      </c>
      <c r="E41" s="19">
        <f t="shared" si="2"/>
        <v>1</v>
      </c>
      <c r="F41" s="20" t="s">
        <v>14</v>
      </c>
      <c r="G41" s="16"/>
      <c r="H41" s="16"/>
      <c r="I41" s="16"/>
      <c r="J41" s="16"/>
      <c r="K41" s="22"/>
      <c r="L41" s="30"/>
      <c r="M41" s="16"/>
      <c r="N41" s="16"/>
      <c r="O41" s="16"/>
      <c r="P41" s="16"/>
      <c r="Q41" s="16"/>
      <c r="R41" s="22"/>
      <c r="S41" s="22"/>
      <c r="T41" s="16"/>
      <c r="U41" s="16"/>
      <c r="V41" s="16"/>
      <c r="W41" s="16"/>
      <c r="X41" s="16"/>
      <c r="Y41" s="22"/>
      <c r="Z41" s="22"/>
      <c r="AA41" s="16"/>
      <c r="AB41" s="16"/>
      <c r="AC41" s="16"/>
      <c r="AD41" s="16"/>
      <c r="AE41" s="16"/>
      <c r="AF41" s="22"/>
    </row>
    <row r="42" spans="1:32" ht="24" customHeight="1" x14ac:dyDescent="0.2">
      <c r="A42" s="22"/>
      <c r="B42" s="23" t="s">
        <v>50</v>
      </c>
      <c r="C42" s="24">
        <v>46124</v>
      </c>
      <c r="D42" s="24">
        <v>46124</v>
      </c>
      <c r="E42" s="25">
        <f t="shared" si="2"/>
        <v>1</v>
      </c>
      <c r="F42" s="26" t="s">
        <v>14</v>
      </c>
      <c r="G42" s="22"/>
      <c r="H42" s="22"/>
      <c r="I42" s="22"/>
      <c r="J42" s="22"/>
      <c r="K42" s="22"/>
      <c r="L42" s="30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</row>
    <row r="43" spans="1:32" ht="24" customHeight="1" x14ac:dyDescent="0.2">
      <c r="A43" s="16"/>
      <c r="B43" s="17" t="s">
        <v>51</v>
      </c>
      <c r="C43" s="18">
        <v>46124</v>
      </c>
      <c r="D43" s="18">
        <v>46124</v>
      </c>
      <c r="E43" s="19">
        <f t="shared" si="2"/>
        <v>1</v>
      </c>
      <c r="F43" s="20" t="s">
        <v>14</v>
      </c>
      <c r="G43" s="16"/>
      <c r="H43" s="16"/>
      <c r="I43" s="16"/>
      <c r="J43" s="16"/>
      <c r="K43" s="22"/>
      <c r="L43" s="30"/>
      <c r="M43" s="16"/>
      <c r="N43" s="16"/>
      <c r="O43" s="16"/>
      <c r="P43" s="16"/>
      <c r="Q43" s="16"/>
      <c r="R43" s="22"/>
      <c r="S43" s="22"/>
      <c r="T43" s="16"/>
      <c r="U43" s="16"/>
      <c r="V43" s="16"/>
      <c r="W43" s="16"/>
      <c r="X43" s="16"/>
      <c r="Y43" s="22"/>
      <c r="Z43" s="22"/>
      <c r="AA43" s="16"/>
      <c r="AB43" s="16"/>
      <c r="AC43" s="16"/>
      <c r="AD43" s="16"/>
      <c r="AE43" s="16"/>
      <c r="AF43" s="22"/>
    </row>
    <row r="44" spans="1:32" ht="24" customHeight="1" x14ac:dyDescent="0.2">
      <c r="A44" s="22"/>
      <c r="B44" s="23" t="s">
        <v>52</v>
      </c>
      <c r="C44" s="24">
        <v>46124</v>
      </c>
      <c r="D44" s="24">
        <v>46124</v>
      </c>
      <c r="E44" s="25">
        <f t="shared" si="2"/>
        <v>1</v>
      </c>
      <c r="F44" s="26" t="s">
        <v>14</v>
      </c>
      <c r="G44" s="22"/>
      <c r="H44" s="22"/>
      <c r="I44" s="22"/>
      <c r="J44" s="22"/>
      <c r="K44" s="22"/>
      <c r="L44" s="30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</row>
    <row r="45" spans="1:32" ht="25.5" customHeight="1" x14ac:dyDescent="0.2">
      <c r="A45" s="5" t="s">
        <v>53</v>
      </c>
      <c r="B45" s="5"/>
      <c r="C45" s="5"/>
      <c r="D45" s="5"/>
      <c r="E45" s="5"/>
      <c r="F45" s="5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:32" ht="24" customHeight="1" x14ac:dyDescent="0.2">
      <c r="A46" s="16"/>
      <c r="B46" s="17" t="s">
        <v>54</v>
      </c>
      <c r="C46" s="18">
        <v>46125</v>
      </c>
      <c r="D46" s="18">
        <v>46125</v>
      </c>
      <c r="E46" s="19">
        <f t="shared" ref="E46:E59" si="3">MAX(D46-C46+1,1)</f>
        <v>1</v>
      </c>
      <c r="F46" s="20" t="s">
        <v>14</v>
      </c>
      <c r="G46" s="16"/>
      <c r="H46" s="16"/>
      <c r="I46" s="16"/>
      <c r="J46" s="16"/>
      <c r="K46" s="22"/>
      <c r="L46" s="22"/>
      <c r="M46" s="32"/>
      <c r="N46" s="16"/>
      <c r="O46" s="16"/>
      <c r="P46" s="16"/>
      <c r="Q46" s="16"/>
      <c r="R46" s="22"/>
      <c r="S46" s="22"/>
      <c r="T46" s="16"/>
      <c r="U46" s="16"/>
      <c r="V46" s="16"/>
      <c r="W46" s="16"/>
      <c r="X46" s="16"/>
      <c r="Y46" s="22"/>
      <c r="Z46" s="22"/>
      <c r="AA46" s="16"/>
      <c r="AB46" s="16"/>
      <c r="AC46" s="16"/>
      <c r="AD46" s="16"/>
      <c r="AE46" s="16"/>
      <c r="AF46" s="22"/>
    </row>
    <row r="47" spans="1:32" ht="24" customHeight="1" x14ac:dyDescent="0.2">
      <c r="A47" s="22"/>
      <c r="B47" s="23" t="s">
        <v>55</v>
      </c>
      <c r="C47" s="24">
        <v>46125</v>
      </c>
      <c r="D47" s="24">
        <v>46125</v>
      </c>
      <c r="E47" s="25">
        <f t="shared" si="3"/>
        <v>1</v>
      </c>
      <c r="F47" s="26" t="s">
        <v>14</v>
      </c>
      <c r="G47" s="22"/>
      <c r="H47" s="22"/>
      <c r="I47" s="22"/>
      <c r="J47" s="22"/>
      <c r="K47" s="22"/>
      <c r="L47" s="22"/>
      <c r="M47" s="3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</row>
    <row r="48" spans="1:32" ht="24" customHeight="1" x14ac:dyDescent="0.2">
      <c r="A48" s="16"/>
      <c r="B48" s="17" t="s">
        <v>56</v>
      </c>
      <c r="C48" s="18">
        <v>46125</v>
      </c>
      <c r="D48" s="18">
        <v>46125</v>
      </c>
      <c r="E48" s="19">
        <f t="shared" si="3"/>
        <v>1</v>
      </c>
      <c r="F48" s="20" t="s">
        <v>14</v>
      </c>
      <c r="G48" s="16"/>
      <c r="H48" s="16"/>
      <c r="I48" s="16"/>
      <c r="J48" s="16"/>
      <c r="K48" s="22"/>
      <c r="L48" s="22"/>
      <c r="M48" s="32"/>
      <c r="N48" s="16"/>
      <c r="O48" s="16"/>
      <c r="P48" s="16"/>
      <c r="Q48" s="16"/>
      <c r="R48" s="22"/>
      <c r="S48" s="22"/>
      <c r="T48" s="16"/>
      <c r="U48" s="16"/>
      <c r="V48" s="16"/>
      <c r="W48" s="16"/>
      <c r="X48" s="16"/>
      <c r="Y48" s="22"/>
      <c r="Z48" s="22"/>
      <c r="AA48" s="16"/>
      <c r="AB48" s="16"/>
      <c r="AC48" s="16"/>
      <c r="AD48" s="16"/>
      <c r="AE48" s="16"/>
      <c r="AF48" s="22"/>
    </row>
    <row r="49" spans="1:32" ht="24" customHeight="1" x14ac:dyDescent="0.2">
      <c r="A49" s="22"/>
      <c r="B49" s="23" t="s">
        <v>57</v>
      </c>
      <c r="C49" s="24">
        <v>46125</v>
      </c>
      <c r="D49" s="24">
        <v>46125</v>
      </c>
      <c r="E49" s="25">
        <f t="shared" si="3"/>
        <v>1</v>
      </c>
      <c r="F49" s="26" t="s">
        <v>14</v>
      </c>
      <c r="G49" s="22"/>
      <c r="H49" s="22"/>
      <c r="I49" s="22"/>
      <c r="J49" s="22"/>
      <c r="K49" s="22"/>
      <c r="L49" s="22"/>
      <c r="M49" s="3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</row>
    <row r="50" spans="1:32" ht="24" customHeight="1" x14ac:dyDescent="0.2">
      <c r="A50" s="16"/>
      <c r="B50" s="17" t="s">
        <v>58</v>
      </c>
      <c r="C50" s="18">
        <v>46125</v>
      </c>
      <c r="D50" s="18">
        <v>46125</v>
      </c>
      <c r="E50" s="19">
        <f t="shared" si="3"/>
        <v>1</v>
      </c>
      <c r="F50" s="20" t="s">
        <v>14</v>
      </c>
      <c r="G50" s="16"/>
      <c r="H50" s="16"/>
      <c r="I50" s="16"/>
      <c r="J50" s="16"/>
      <c r="K50" s="22"/>
      <c r="L50" s="22"/>
      <c r="M50" s="32"/>
      <c r="N50" s="16"/>
      <c r="O50" s="16"/>
      <c r="P50" s="16"/>
      <c r="Q50" s="16"/>
      <c r="R50" s="22"/>
      <c r="S50" s="22"/>
      <c r="T50" s="16"/>
      <c r="U50" s="16"/>
      <c r="V50" s="16"/>
      <c r="W50" s="16"/>
      <c r="X50" s="16"/>
      <c r="Y50" s="22"/>
      <c r="Z50" s="22"/>
      <c r="AA50" s="16"/>
      <c r="AB50" s="16"/>
      <c r="AC50" s="16"/>
      <c r="AD50" s="16"/>
      <c r="AE50" s="16"/>
      <c r="AF50" s="22"/>
    </row>
    <row r="51" spans="1:32" ht="24" customHeight="1" x14ac:dyDescent="0.2">
      <c r="A51" s="22"/>
      <c r="B51" s="23" t="s">
        <v>59</v>
      </c>
      <c r="C51" s="24">
        <v>46125</v>
      </c>
      <c r="D51" s="24">
        <v>46125</v>
      </c>
      <c r="E51" s="25">
        <f t="shared" si="3"/>
        <v>1</v>
      </c>
      <c r="F51" s="26" t="s">
        <v>14</v>
      </c>
      <c r="G51" s="22"/>
      <c r="H51" s="22"/>
      <c r="I51" s="22"/>
      <c r="J51" s="22"/>
      <c r="K51" s="22"/>
      <c r="L51" s="22"/>
      <c r="M51" s="3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</row>
    <row r="52" spans="1:32" ht="24" customHeight="1" x14ac:dyDescent="0.2">
      <c r="A52" s="16"/>
      <c r="B52" s="17" t="s">
        <v>60</v>
      </c>
      <c r="C52" s="18">
        <v>46125</v>
      </c>
      <c r="D52" s="18">
        <v>46125</v>
      </c>
      <c r="E52" s="19">
        <f t="shared" si="3"/>
        <v>1</v>
      </c>
      <c r="F52" s="20" t="s">
        <v>14</v>
      </c>
      <c r="G52" s="16"/>
      <c r="H52" s="16"/>
      <c r="I52" s="16"/>
      <c r="J52" s="16"/>
      <c r="K52" s="22"/>
      <c r="L52" s="22"/>
      <c r="M52" s="32"/>
      <c r="N52" s="16"/>
      <c r="O52" s="16"/>
      <c r="P52" s="16"/>
      <c r="Q52" s="16"/>
      <c r="R52" s="22"/>
      <c r="S52" s="22"/>
      <c r="T52" s="16"/>
      <c r="U52" s="16"/>
      <c r="V52" s="16"/>
      <c r="W52" s="16"/>
      <c r="X52" s="16"/>
      <c r="Y52" s="22"/>
      <c r="Z52" s="22"/>
      <c r="AA52" s="16"/>
      <c r="AB52" s="16"/>
      <c r="AC52" s="16"/>
      <c r="AD52" s="16"/>
      <c r="AE52" s="16"/>
      <c r="AF52" s="22"/>
    </row>
    <row r="53" spans="1:32" ht="24" customHeight="1" x14ac:dyDescent="0.2">
      <c r="A53" s="22"/>
      <c r="B53" s="23" t="s">
        <v>61</v>
      </c>
      <c r="C53" s="24">
        <v>46125</v>
      </c>
      <c r="D53" s="24">
        <v>46125</v>
      </c>
      <c r="E53" s="25">
        <f t="shared" si="3"/>
        <v>1</v>
      </c>
      <c r="F53" s="26" t="s">
        <v>14</v>
      </c>
      <c r="G53" s="22"/>
      <c r="H53" s="22"/>
      <c r="I53" s="22"/>
      <c r="J53" s="22"/>
      <c r="K53" s="22"/>
      <c r="L53" s="22"/>
      <c r="M53" s="3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</row>
    <row r="54" spans="1:32" ht="24" customHeight="1" x14ac:dyDescent="0.2">
      <c r="A54" s="16"/>
      <c r="B54" s="17" t="s">
        <v>62</v>
      </c>
      <c r="C54" s="18">
        <v>46125</v>
      </c>
      <c r="D54" s="18">
        <v>46125</v>
      </c>
      <c r="E54" s="19">
        <f t="shared" si="3"/>
        <v>1</v>
      </c>
      <c r="F54" s="20" t="s">
        <v>14</v>
      </c>
      <c r="G54" s="16"/>
      <c r="H54" s="16"/>
      <c r="I54" s="16"/>
      <c r="J54" s="16"/>
      <c r="K54" s="22"/>
      <c r="L54" s="22"/>
      <c r="M54" s="32"/>
      <c r="N54" s="16"/>
      <c r="O54" s="16"/>
      <c r="P54" s="16"/>
      <c r="Q54" s="16"/>
      <c r="R54" s="22"/>
      <c r="S54" s="22"/>
      <c r="T54" s="16"/>
      <c r="U54" s="16"/>
      <c r="V54" s="16"/>
      <c r="W54" s="16"/>
      <c r="X54" s="16"/>
      <c r="Y54" s="22"/>
      <c r="Z54" s="22"/>
      <c r="AA54" s="16"/>
      <c r="AB54" s="16"/>
      <c r="AC54" s="16"/>
      <c r="AD54" s="16"/>
      <c r="AE54" s="16"/>
      <c r="AF54" s="22"/>
    </row>
    <row r="55" spans="1:32" ht="24" customHeight="1" x14ac:dyDescent="0.2">
      <c r="A55" s="22"/>
      <c r="B55" s="23" t="s">
        <v>63</v>
      </c>
      <c r="C55" s="24">
        <v>46125</v>
      </c>
      <c r="D55" s="24">
        <v>46125</v>
      </c>
      <c r="E55" s="25">
        <f t="shared" si="3"/>
        <v>1</v>
      </c>
      <c r="F55" s="26" t="s">
        <v>14</v>
      </c>
      <c r="G55" s="22"/>
      <c r="H55" s="22"/>
      <c r="I55" s="22"/>
      <c r="J55" s="22"/>
      <c r="K55" s="22"/>
      <c r="L55" s="22"/>
      <c r="M55" s="3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</row>
    <row r="56" spans="1:32" ht="24" customHeight="1" x14ac:dyDescent="0.2">
      <c r="A56" s="16"/>
      <c r="B56" s="17" t="s">
        <v>64</v>
      </c>
      <c r="C56" s="18">
        <v>46125</v>
      </c>
      <c r="D56" s="18">
        <v>46125</v>
      </c>
      <c r="E56" s="19">
        <f t="shared" si="3"/>
        <v>1</v>
      </c>
      <c r="F56" s="20" t="s">
        <v>14</v>
      </c>
      <c r="G56" s="16"/>
      <c r="H56" s="16"/>
      <c r="I56" s="16"/>
      <c r="J56" s="16"/>
      <c r="K56" s="22"/>
      <c r="L56" s="22"/>
      <c r="M56" s="32"/>
      <c r="N56" s="16"/>
      <c r="O56" s="16"/>
      <c r="P56" s="16"/>
      <c r="Q56" s="16"/>
      <c r="R56" s="22"/>
      <c r="S56" s="22"/>
      <c r="T56" s="16"/>
      <c r="U56" s="16"/>
      <c r="V56" s="16"/>
      <c r="W56" s="16"/>
      <c r="X56" s="16"/>
      <c r="Y56" s="22"/>
      <c r="Z56" s="22"/>
      <c r="AA56" s="16"/>
      <c r="AB56" s="16"/>
      <c r="AC56" s="16"/>
      <c r="AD56" s="16"/>
      <c r="AE56" s="16"/>
      <c r="AF56" s="22"/>
    </row>
    <row r="57" spans="1:32" ht="24" customHeight="1" x14ac:dyDescent="0.2">
      <c r="A57" s="22"/>
      <c r="B57" s="23" t="s">
        <v>65</v>
      </c>
      <c r="C57" s="24">
        <v>46125</v>
      </c>
      <c r="D57" s="24">
        <v>46125</v>
      </c>
      <c r="E57" s="25">
        <f t="shared" si="3"/>
        <v>1</v>
      </c>
      <c r="F57" s="26" t="s">
        <v>14</v>
      </c>
      <c r="G57" s="22"/>
      <c r="H57" s="22"/>
      <c r="I57" s="22"/>
      <c r="J57" s="22"/>
      <c r="K57" s="22"/>
      <c r="L57" s="22"/>
      <c r="M57" s="3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</row>
    <row r="58" spans="1:32" ht="24" customHeight="1" x14ac:dyDescent="0.2">
      <c r="A58" s="16"/>
      <c r="B58" s="17" t="s">
        <v>66</v>
      </c>
      <c r="C58" s="18">
        <v>46125</v>
      </c>
      <c r="D58" s="18">
        <v>46125</v>
      </c>
      <c r="E58" s="19">
        <f t="shared" si="3"/>
        <v>1</v>
      </c>
      <c r="F58" s="20" t="s">
        <v>14</v>
      </c>
      <c r="G58" s="16"/>
      <c r="H58" s="16"/>
      <c r="I58" s="16"/>
      <c r="J58" s="16"/>
      <c r="K58" s="22"/>
      <c r="L58" s="22"/>
      <c r="M58" s="32"/>
      <c r="N58" s="16"/>
      <c r="O58" s="16"/>
      <c r="P58" s="16"/>
      <c r="Q58" s="16"/>
      <c r="R58" s="22"/>
      <c r="S58" s="22"/>
      <c r="T58" s="16"/>
      <c r="U58" s="16"/>
      <c r="V58" s="16"/>
      <c r="W58" s="16"/>
      <c r="X58" s="16"/>
      <c r="Y58" s="22"/>
      <c r="Z58" s="22"/>
      <c r="AA58" s="16"/>
      <c r="AB58" s="16"/>
      <c r="AC58" s="16"/>
      <c r="AD58" s="16"/>
      <c r="AE58" s="16"/>
      <c r="AF58" s="22"/>
    </row>
    <row r="59" spans="1:32" ht="24" customHeight="1" x14ac:dyDescent="0.2">
      <c r="A59" s="22"/>
      <c r="B59" s="23" t="s">
        <v>67</v>
      </c>
      <c r="C59" s="24">
        <v>46126</v>
      </c>
      <c r="D59" s="24">
        <v>46126</v>
      </c>
      <c r="E59" s="25">
        <f t="shared" si="3"/>
        <v>1</v>
      </c>
      <c r="F59" s="26" t="s">
        <v>14</v>
      </c>
      <c r="G59" s="22"/>
      <c r="H59" s="22"/>
      <c r="I59" s="22"/>
      <c r="J59" s="22"/>
      <c r="K59" s="22"/>
      <c r="L59" s="22"/>
      <c r="M59" s="22"/>
      <c r="N59" s="3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</row>
    <row r="60" spans="1:32" ht="25.5" customHeight="1" x14ac:dyDescent="0.2">
      <c r="A60" s="4" t="s">
        <v>68</v>
      </c>
      <c r="B60" s="4"/>
      <c r="C60" s="4"/>
      <c r="D60" s="4"/>
      <c r="E60" s="4"/>
      <c r="F60" s="4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</row>
    <row r="61" spans="1:32" ht="24" customHeight="1" x14ac:dyDescent="0.2">
      <c r="A61" s="16"/>
      <c r="B61" s="17" t="s">
        <v>69</v>
      </c>
      <c r="C61" s="18">
        <v>46126</v>
      </c>
      <c r="D61" s="18">
        <v>46126</v>
      </c>
      <c r="E61" s="19">
        <f t="shared" ref="E61:E75" si="4">MAX(D61-C61+1,1)</f>
        <v>1</v>
      </c>
      <c r="F61" s="20" t="s">
        <v>14</v>
      </c>
      <c r="G61" s="16"/>
      <c r="H61" s="16"/>
      <c r="I61" s="16"/>
      <c r="J61" s="16"/>
      <c r="K61" s="22"/>
      <c r="L61" s="22"/>
      <c r="M61" s="16"/>
      <c r="N61" s="34"/>
      <c r="O61" s="16"/>
      <c r="P61" s="16"/>
      <c r="Q61" s="16"/>
      <c r="R61" s="22"/>
      <c r="S61" s="22"/>
      <c r="T61" s="16"/>
      <c r="U61" s="16"/>
      <c r="V61" s="16"/>
      <c r="W61" s="16"/>
      <c r="X61" s="16"/>
      <c r="Y61" s="22"/>
      <c r="Z61" s="22"/>
      <c r="AA61" s="16"/>
      <c r="AB61" s="16"/>
      <c r="AC61" s="16"/>
      <c r="AD61" s="16"/>
      <c r="AE61" s="16"/>
      <c r="AF61" s="22"/>
    </row>
    <row r="62" spans="1:32" ht="24" customHeight="1" x14ac:dyDescent="0.2">
      <c r="A62" s="22"/>
      <c r="B62" s="23" t="s">
        <v>70</v>
      </c>
      <c r="C62" s="24">
        <v>46126</v>
      </c>
      <c r="D62" s="24">
        <v>46126</v>
      </c>
      <c r="E62" s="25">
        <f t="shared" si="4"/>
        <v>1</v>
      </c>
      <c r="F62" s="26" t="s">
        <v>14</v>
      </c>
      <c r="G62" s="22"/>
      <c r="H62" s="22"/>
      <c r="I62" s="22"/>
      <c r="J62" s="22"/>
      <c r="K62" s="22"/>
      <c r="L62" s="22"/>
      <c r="M62" s="22"/>
      <c r="N62" s="34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</row>
    <row r="63" spans="1:32" ht="24" customHeight="1" x14ac:dyDescent="0.2">
      <c r="A63" s="16"/>
      <c r="B63" s="17" t="s">
        <v>71</v>
      </c>
      <c r="C63" s="18">
        <v>46126</v>
      </c>
      <c r="D63" s="18">
        <v>46126</v>
      </c>
      <c r="E63" s="19">
        <f t="shared" si="4"/>
        <v>1</v>
      </c>
      <c r="F63" s="20" t="s">
        <v>14</v>
      </c>
      <c r="G63" s="16"/>
      <c r="H63" s="16"/>
      <c r="I63" s="16"/>
      <c r="J63" s="16"/>
      <c r="K63" s="22"/>
      <c r="L63" s="22"/>
      <c r="M63" s="16"/>
      <c r="N63" s="34"/>
      <c r="O63" s="16"/>
      <c r="P63" s="16"/>
      <c r="Q63" s="16"/>
      <c r="R63" s="22"/>
      <c r="S63" s="22"/>
      <c r="T63" s="16"/>
      <c r="U63" s="16"/>
      <c r="V63" s="16"/>
      <c r="W63" s="16"/>
      <c r="X63" s="16"/>
      <c r="Y63" s="22"/>
      <c r="Z63" s="22"/>
      <c r="AA63" s="16"/>
      <c r="AB63" s="16"/>
      <c r="AC63" s="16"/>
      <c r="AD63" s="16"/>
      <c r="AE63" s="16"/>
      <c r="AF63" s="22"/>
    </row>
    <row r="64" spans="1:32" ht="24" customHeight="1" x14ac:dyDescent="0.2">
      <c r="A64" s="22"/>
      <c r="B64" s="23" t="s">
        <v>72</v>
      </c>
      <c r="C64" s="24">
        <v>46126</v>
      </c>
      <c r="D64" s="24">
        <v>46126</v>
      </c>
      <c r="E64" s="25">
        <f t="shared" si="4"/>
        <v>1</v>
      </c>
      <c r="F64" s="26" t="s">
        <v>14</v>
      </c>
      <c r="G64" s="22"/>
      <c r="H64" s="22"/>
      <c r="I64" s="22"/>
      <c r="J64" s="22"/>
      <c r="K64" s="22"/>
      <c r="L64" s="22"/>
      <c r="M64" s="22"/>
      <c r="N64" s="34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</row>
    <row r="65" spans="1:32" ht="24" customHeight="1" x14ac:dyDescent="0.2">
      <c r="A65" s="16"/>
      <c r="B65" s="17" t="s">
        <v>73</v>
      </c>
      <c r="C65" s="18">
        <v>46126</v>
      </c>
      <c r="D65" s="18">
        <v>46126</v>
      </c>
      <c r="E65" s="19">
        <f t="shared" si="4"/>
        <v>1</v>
      </c>
      <c r="F65" s="20" t="s">
        <v>14</v>
      </c>
      <c r="G65" s="16"/>
      <c r="H65" s="16"/>
      <c r="I65" s="16"/>
      <c r="J65" s="16"/>
      <c r="K65" s="22"/>
      <c r="L65" s="22"/>
      <c r="M65" s="16"/>
      <c r="N65" s="34"/>
      <c r="O65" s="16"/>
      <c r="P65" s="16"/>
      <c r="Q65" s="16"/>
      <c r="R65" s="22"/>
      <c r="S65" s="22"/>
      <c r="T65" s="16"/>
      <c r="U65" s="16"/>
      <c r="V65" s="16"/>
      <c r="W65" s="16"/>
      <c r="X65" s="16"/>
      <c r="Y65" s="22"/>
      <c r="Z65" s="22"/>
      <c r="AA65" s="16"/>
      <c r="AB65" s="16"/>
      <c r="AC65" s="16"/>
      <c r="AD65" s="16"/>
      <c r="AE65" s="16"/>
      <c r="AF65" s="22"/>
    </row>
    <row r="66" spans="1:32" ht="24" customHeight="1" x14ac:dyDescent="0.2">
      <c r="A66" s="22"/>
      <c r="B66" s="23" t="s">
        <v>74</v>
      </c>
      <c r="C66" s="24">
        <v>46126</v>
      </c>
      <c r="D66" s="24">
        <v>46126</v>
      </c>
      <c r="E66" s="25">
        <f t="shared" si="4"/>
        <v>1</v>
      </c>
      <c r="F66" s="26" t="s">
        <v>14</v>
      </c>
      <c r="G66" s="22"/>
      <c r="H66" s="22"/>
      <c r="I66" s="22"/>
      <c r="J66" s="22"/>
      <c r="K66" s="22"/>
      <c r="L66" s="22"/>
      <c r="M66" s="22"/>
      <c r="N66" s="34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</row>
    <row r="67" spans="1:32" ht="24" customHeight="1" x14ac:dyDescent="0.2">
      <c r="A67" s="16"/>
      <c r="B67" s="17" t="s">
        <v>75</v>
      </c>
      <c r="C67" s="18">
        <v>46126</v>
      </c>
      <c r="D67" s="18">
        <v>46126</v>
      </c>
      <c r="E67" s="19">
        <f t="shared" si="4"/>
        <v>1</v>
      </c>
      <c r="F67" s="20" t="s">
        <v>14</v>
      </c>
      <c r="G67" s="16"/>
      <c r="H67" s="16"/>
      <c r="I67" s="16"/>
      <c r="J67" s="16"/>
      <c r="K67" s="22"/>
      <c r="L67" s="22"/>
      <c r="M67" s="16"/>
      <c r="N67" s="34"/>
      <c r="O67" s="16"/>
      <c r="P67" s="16"/>
      <c r="Q67" s="16"/>
      <c r="R67" s="22"/>
      <c r="S67" s="22"/>
      <c r="T67" s="16"/>
      <c r="U67" s="16"/>
      <c r="V67" s="16"/>
      <c r="W67" s="16"/>
      <c r="X67" s="16"/>
      <c r="Y67" s="22"/>
      <c r="Z67" s="22"/>
      <c r="AA67" s="16"/>
      <c r="AB67" s="16"/>
      <c r="AC67" s="16"/>
      <c r="AD67" s="16"/>
      <c r="AE67" s="16"/>
      <c r="AF67" s="22"/>
    </row>
    <row r="68" spans="1:32" ht="24" customHeight="1" x14ac:dyDescent="0.2">
      <c r="A68" s="22"/>
      <c r="B68" s="23" t="s">
        <v>76</v>
      </c>
      <c r="C68" s="24">
        <v>46126</v>
      </c>
      <c r="D68" s="24">
        <v>46126</v>
      </c>
      <c r="E68" s="25">
        <f t="shared" si="4"/>
        <v>1</v>
      </c>
      <c r="F68" s="26" t="s">
        <v>14</v>
      </c>
      <c r="G68" s="22"/>
      <c r="H68" s="22"/>
      <c r="I68" s="22"/>
      <c r="J68" s="22"/>
      <c r="K68" s="22"/>
      <c r="L68" s="22"/>
      <c r="M68" s="22"/>
      <c r="N68" s="34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</row>
    <row r="69" spans="1:32" ht="24" customHeight="1" x14ac:dyDescent="0.2">
      <c r="A69" s="16"/>
      <c r="B69" s="17" t="s">
        <v>77</v>
      </c>
      <c r="C69" s="18">
        <v>46126</v>
      </c>
      <c r="D69" s="18">
        <v>46126</v>
      </c>
      <c r="E69" s="19">
        <f t="shared" si="4"/>
        <v>1</v>
      </c>
      <c r="F69" s="20" t="s">
        <v>14</v>
      </c>
      <c r="G69" s="16"/>
      <c r="H69" s="16"/>
      <c r="I69" s="16"/>
      <c r="J69" s="16"/>
      <c r="K69" s="22"/>
      <c r="L69" s="22"/>
      <c r="M69" s="16"/>
      <c r="N69" s="34"/>
      <c r="O69" s="16"/>
      <c r="P69" s="16"/>
      <c r="Q69" s="16"/>
      <c r="R69" s="22"/>
      <c r="S69" s="22"/>
      <c r="T69" s="16"/>
      <c r="U69" s="16"/>
      <c r="V69" s="16"/>
      <c r="W69" s="16"/>
      <c r="X69" s="16"/>
      <c r="Y69" s="22"/>
      <c r="Z69" s="22"/>
      <c r="AA69" s="16"/>
      <c r="AB69" s="16"/>
      <c r="AC69" s="16"/>
      <c r="AD69" s="16"/>
      <c r="AE69" s="16"/>
      <c r="AF69" s="22"/>
    </row>
    <row r="70" spans="1:32" ht="24" customHeight="1" x14ac:dyDescent="0.2">
      <c r="A70" s="22"/>
      <c r="B70" s="23" t="s">
        <v>78</v>
      </c>
      <c r="C70" s="24">
        <v>46126</v>
      </c>
      <c r="D70" s="24">
        <v>46126</v>
      </c>
      <c r="E70" s="25">
        <f t="shared" si="4"/>
        <v>1</v>
      </c>
      <c r="F70" s="26" t="s">
        <v>14</v>
      </c>
      <c r="G70" s="22"/>
      <c r="H70" s="22"/>
      <c r="I70" s="22"/>
      <c r="J70" s="22"/>
      <c r="K70" s="22"/>
      <c r="L70" s="22"/>
      <c r="M70" s="22"/>
      <c r="N70" s="34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</row>
    <row r="71" spans="1:32" ht="24" customHeight="1" x14ac:dyDescent="0.2">
      <c r="A71" s="16"/>
      <c r="B71" s="17" t="s">
        <v>79</v>
      </c>
      <c r="C71" s="18">
        <v>46127</v>
      </c>
      <c r="D71" s="18">
        <v>46127</v>
      </c>
      <c r="E71" s="19">
        <f t="shared" si="4"/>
        <v>1</v>
      </c>
      <c r="F71" s="20" t="s">
        <v>14</v>
      </c>
      <c r="G71" s="16"/>
      <c r="H71" s="16"/>
      <c r="I71" s="16"/>
      <c r="J71" s="16"/>
      <c r="K71" s="22"/>
      <c r="L71" s="22"/>
      <c r="M71" s="16"/>
      <c r="N71" s="16"/>
      <c r="O71" s="34"/>
      <c r="P71" s="16"/>
      <c r="Q71" s="16"/>
      <c r="R71" s="22"/>
      <c r="S71" s="22"/>
      <c r="T71" s="16"/>
      <c r="U71" s="16"/>
      <c r="V71" s="16"/>
      <c r="W71" s="16"/>
      <c r="X71" s="16"/>
      <c r="Y71" s="22"/>
      <c r="Z71" s="22"/>
      <c r="AA71" s="16"/>
      <c r="AB71" s="16"/>
      <c r="AC71" s="16"/>
      <c r="AD71" s="16"/>
      <c r="AE71" s="16"/>
      <c r="AF71" s="22"/>
    </row>
    <row r="72" spans="1:32" ht="24" customHeight="1" x14ac:dyDescent="0.2">
      <c r="A72" s="22"/>
      <c r="B72" s="23" t="s">
        <v>80</v>
      </c>
      <c r="C72" s="24">
        <v>46127</v>
      </c>
      <c r="D72" s="24">
        <v>46127</v>
      </c>
      <c r="E72" s="25">
        <f t="shared" si="4"/>
        <v>1</v>
      </c>
      <c r="F72" s="26" t="s">
        <v>14</v>
      </c>
      <c r="G72" s="22"/>
      <c r="H72" s="22"/>
      <c r="I72" s="22"/>
      <c r="J72" s="22"/>
      <c r="K72" s="22"/>
      <c r="L72" s="22"/>
      <c r="M72" s="22"/>
      <c r="N72" s="22"/>
      <c r="O72" s="34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</row>
    <row r="73" spans="1:32" ht="24" customHeight="1" x14ac:dyDescent="0.2">
      <c r="A73" s="16"/>
      <c r="B73" s="17" t="s">
        <v>81</v>
      </c>
      <c r="C73" s="18">
        <v>46127</v>
      </c>
      <c r="D73" s="18">
        <v>46127</v>
      </c>
      <c r="E73" s="19">
        <f t="shared" si="4"/>
        <v>1</v>
      </c>
      <c r="F73" s="20" t="s">
        <v>14</v>
      </c>
      <c r="G73" s="16"/>
      <c r="H73" s="16"/>
      <c r="I73" s="16"/>
      <c r="J73" s="16"/>
      <c r="K73" s="22"/>
      <c r="L73" s="22"/>
      <c r="M73" s="16"/>
      <c r="N73" s="16"/>
      <c r="O73" s="34"/>
      <c r="P73" s="16"/>
      <c r="Q73" s="16"/>
      <c r="R73" s="22"/>
      <c r="S73" s="22"/>
      <c r="T73" s="16"/>
      <c r="U73" s="16"/>
      <c r="V73" s="16"/>
      <c r="W73" s="16"/>
      <c r="X73" s="16"/>
      <c r="Y73" s="22"/>
      <c r="Z73" s="22"/>
      <c r="AA73" s="16"/>
      <c r="AB73" s="16"/>
      <c r="AC73" s="16"/>
      <c r="AD73" s="16"/>
      <c r="AE73" s="16"/>
      <c r="AF73" s="22"/>
    </row>
    <row r="74" spans="1:32" ht="24" customHeight="1" x14ac:dyDescent="0.2">
      <c r="A74" s="22"/>
      <c r="B74" s="23" t="s">
        <v>82</v>
      </c>
      <c r="C74" s="24">
        <v>46127</v>
      </c>
      <c r="D74" s="24">
        <v>46127</v>
      </c>
      <c r="E74" s="25">
        <f t="shared" si="4"/>
        <v>1</v>
      </c>
      <c r="F74" s="26" t="s">
        <v>14</v>
      </c>
      <c r="G74" s="22"/>
      <c r="H74" s="22"/>
      <c r="I74" s="22"/>
      <c r="J74" s="22"/>
      <c r="K74" s="22"/>
      <c r="L74" s="22"/>
      <c r="M74" s="22"/>
      <c r="N74" s="22"/>
      <c r="O74" s="34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</row>
    <row r="75" spans="1:32" ht="24" customHeight="1" x14ac:dyDescent="0.2">
      <c r="A75" s="16"/>
      <c r="B75" s="17" t="s">
        <v>83</v>
      </c>
      <c r="C75" s="18">
        <v>46127</v>
      </c>
      <c r="D75" s="18">
        <v>46127</v>
      </c>
      <c r="E75" s="19">
        <f t="shared" si="4"/>
        <v>1</v>
      </c>
      <c r="F75" s="20" t="s">
        <v>14</v>
      </c>
      <c r="G75" s="16"/>
      <c r="H75" s="16"/>
      <c r="I75" s="16"/>
      <c r="J75" s="16"/>
      <c r="K75" s="22"/>
      <c r="L75" s="22"/>
      <c r="M75" s="16"/>
      <c r="N75" s="16"/>
      <c r="O75" s="34"/>
      <c r="P75" s="16"/>
      <c r="Q75" s="16"/>
      <c r="R75" s="22"/>
      <c r="S75" s="22"/>
      <c r="T75" s="16"/>
      <c r="U75" s="16"/>
      <c r="V75" s="16"/>
      <c r="W75" s="16"/>
      <c r="X75" s="16"/>
      <c r="Y75" s="22"/>
      <c r="Z75" s="22"/>
      <c r="AA75" s="16"/>
      <c r="AB75" s="16"/>
      <c r="AC75" s="16"/>
      <c r="AD75" s="16"/>
      <c r="AE75" s="16"/>
      <c r="AF75" s="22"/>
    </row>
    <row r="76" spans="1:32" ht="25.5" customHeight="1" x14ac:dyDescent="0.2">
      <c r="A76" s="3" t="s">
        <v>84</v>
      </c>
      <c r="B76" s="3"/>
      <c r="C76" s="3"/>
      <c r="D76" s="3"/>
      <c r="E76" s="3"/>
      <c r="F76" s="3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</row>
    <row r="77" spans="1:32" ht="24" customHeight="1" x14ac:dyDescent="0.2">
      <c r="A77" s="16"/>
      <c r="B77" s="17" t="s">
        <v>85</v>
      </c>
      <c r="C77" s="18">
        <v>46127</v>
      </c>
      <c r="D77" s="18">
        <v>46127</v>
      </c>
      <c r="E77" s="19">
        <f t="shared" ref="E77:E86" si="5">MAX(D77-C77+1,1)</f>
        <v>1</v>
      </c>
      <c r="F77" s="20" t="s">
        <v>14</v>
      </c>
      <c r="G77" s="16"/>
      <c r="H77" s="16"/>
      <c r="I77" s="16"/>
      <c r="J77" s="16"/>
      <c r="K77" s="22"/>
      <c r="L77" s="22"/>
      <c r="M77" s="16"/>
      <c r="N77" s="16"/>
      <c r="O77" s="36"/>
      <c r="P77" s="16"/>
      <c r="Q77" s="16"/>
      <c r="R77" s="22"/>
      <c r="S77" s="22"/>
      <c r="T77" s="16"/>
      <c r="U77" s="16"/>
      <c r="V77" s="16"/>
      <c r="W77" s="16"/>
      <c r="X77" s="16"/>
      <c r="Y77" s="22"/>
      <c r="Z77" s="22"/>
      <c r="AA77" s="16"/>
      <c r="AB77" s="16"/>
      <c r="AC77" s="16"/>
      <c r="AD77" s="16"/>
      <c r="AE77" s="16"/>
      <c r="AF77" s="22"/>
    </row>
    <row r="78" spans="1:32" ht="24" customHeight="1" x14ac:dyDescent="0.2">
      <c r="A78" s="22"/>
      <c r="B78" s="23" t="s">
        <v>86</v>
      </c>
      <c r="C78" s="24">
        <v>46127</v>
      </c>
      <c r="D78" s="24">
        <v>46127</v>
      </c>
      <c r="E78" s="25">
        <f t="shared" si="5"/>
        <v>1</v>
      </c>
      <c r="F78" s="26" t="s">
        <v>14</v>
      </c>
      <c r="G78" s="22"/>
      <c r="H78" s="22"/>
      <c r="I78" s="22"/>
      <c r="J78" s="22"/>
      <c r="K78" s="22"/>
      <c r="L78" s="22"/>
      <c r="M78" s="22"/>
      <c r="N78" s="22"/>
      <c r="O78" s="36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</row>
    <row r="79" spans="1:32" ht="24" customHeight="1" x14ac:dyDescent="0.2">
      <c r="A79" s="16"/>
      <c r="B79" s="17" t="s">
        <v>87</v>
      </c>
      <c r="C79" s="18">
        <v>46127</v>
      </c>
      <c r="D79" s="18">
        <v>46127</v>
      </c>
      <c r="E79" s="19">
        <f t="shared" si="5"/>
        <v>1</v>
      </c>
      <c r="F79" s="20" t="s">
        <v>14</v>
      </c>
      <c r="G79" s="16"/>
      <c r="H79" s="16"/>
      <c r="I79" s="16"/>
      <c r="J79" s="16"/>
      <c r="K79" s="22"/>
      <c r="L79" s="22"/>
      <c r="M79" s="16"/>
      <c r="N79" s="16"/>
      <c r="O79" s="36"/>
      <c r="P79" s="16"/>
      <c r="Q79" s="16"/>
      <c r="R79" s="22"/>
      <c r="S79" s="22"/>
      <c r="T79" s="16"/>
      <c r="U79" s="16"/>
      <c r="V79" s="16"/>
      <c r="W79" s="16"/>
      <c r="X79" s="16"/>
      <c r="Y79" s="22"/>
      <c r="Z79" s="22"/>
      <c r="AA79" s="16"/>
      <c r="AB79" s="16"/>
      <c r="AC79" s="16"/>
      <c r="AD79" s="16"/>
      <c r="AE79" s="16"/>
      <c r="AF79" s="22"/>
    </row>
    <row r="80" spans="1:32" ht="24" customHeight="1" x14ac:dyDescent="0.2">
      <c r="A80" s="22"/>
      <c r="B80" s="23" t="s">
        <v>88</v>
      </c>
      <c r="C80" s="24">
        <v>46127</v>
      </c>
      <c r="D80" s="24">
        <v>46127</v>
      </c>
      <c r="E80" s="25">
        <f t="shared" si="5"/>
        <v>1</v>
      </c>
      <c r="F80" s="26" t="s">
        <v>14</v>
      </c>
      <c r="G80" s="22"/>
      <c r="H80" s="22"/>
      <c r="I80" s="22"/>
      <c r="J80" s="22"/>
      <c r="K80" s="22"/>
      <c r="L80" s="22"/>
      <c r="M80" s="22"/>
      <c r="N80" s="22"/>
      <c r="O80" s="36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</row>
    <row r="81" spans="1:32" ht="24" customHeight="1" x14ac:dyDescent="0.2">
      <c r="A81" s="16"/>
      <c r="B81" s="17" t="s">
        <v>89</v>
      </c>
      <c r="C81" s="18">
        <v>46127</v>
      </c>
      <c r="D81" s="18">
        <v>46127</v>
      </c>
      <c r="E81" s="19">
        <f t="shared" si="5"/>
        <v>1</v>
      </c>
      <c r="F81" s="20" t="s">
        <v>14</v>
      </c>
      <c r="G81" s="16"/>
      <c r="H81" s="16"/>
      <c r="I81" s="16"/>
      <c r="J81" s="16"/>
      <c r="K81" s="22"/>
      <c r="L81" s="22"/>
      <c r="M81" s="16"/>
      <c r="N81" s="16"/>
      <c r="O81" s="36"/>
      <c r="P81" s="16"/>
      <c r="Q81" s="16"/>
      <c r="R81" s="22"/>
      <c r="S81" s="22"/>
      <c r="T81" s="16"/>
      <c r="U81" s="16"/>
      <c r="V81" s="16"/>
      <c r="W81" s="16"/>
      <c r="X81" s="16"/>
      <c r="Y81" s="22"/>
      <c r="Z81" s="22"/>
      <c r="AA81" s="16"/>
      <c r="AB81" s="16"/>
      <c r="AC81" s="16"/>
      <c r="AD81" s="16"/>
      <c r="AE81" s="16"/>
      <c r="AF81" s="22"/>
    </row>
    <row r="82" spans="1:32" ht="24" customHeight="1" x14ac:dyDescent="0.2">
      <c r="A82" s="22"/>
      <c r="B82" s="23" t="s">
        <v>90</v>
      </c>
      <c r="C82" s="24">
        <v>46127</v>
      </c>
      <c r="D82" s="24">
        <v>46127</v>
      </c>
      <c r="E82" s="25">
        <f t="shared" si="5"/>
        <v>1</v>
      </c>
      <c r="F82" s="26" t="s">
        <v>14</v>
      </c>
      <c r="G82" s="22"/>
      <c r="H82" s="22"/>
      <c r="I82" s="22"/>
      <c r="J82" s="22"/>
      <c r="K82" s="22"/>
      <c r="L82" s="22"/>
      <c r="M82" s="22"/>
      <c r="N82" s="22"/>
      <c r="O82" s="36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</row>
    <row r="83" spans="1:32" ht="24" customHeight="1" x14ac:dyDescent="0.2">
      <c r="A83" s="16"/>
      <c r="B83" s="17" t="s">
        <v>91</v>
      </c>
      <c r="C83" s="18">
        <v>46127</v>
      </c>
      <c r="D83" s="18">
        <v>46127</v>
      </c>
      <c r="E83" s="19">
        <f t="shared" si="5"/>
        <v>1</v>
      </c>
      <c r="F83" s="20" t="s">
        <v>14</v>
      </c>
      <c r="G83" s="16"/>
      <c r="H83" s="16"/>
      <c r="I83" s="16"/>
      <c r="J83" s="16"/>
      <c r="K83" s="22"/>
      <c r="L83" s="22"/>
      <c r="M83" s="16"/>
      <c r="N83" s="16"/>
      <c r="O83" s="36"/>
      <c r="P83" s="16"/>
      <c r="Q83" s="16"/>
      <c r="R83" s="22"/>
      <c r="S83" s="22"/>
      <c r="T83" s="16"/>
      <c r="U83" s="16"/>
      <c r="V83" s="16"/>
      <c r="W83" s="16"/>
      <c r="X83" s="16"/>
      <c r="Y83" s="22"/>
      <c r="Z83" s="22"/>
      <c r="AA83" s="16"/>
      <c r="AB83" s="16"/>
      <c r="AC83" s="16"/>
      <c r="AD83" s="16"/>
      <c r="AE83" s="16"/>
      <c r="AF83" s="22"/>
    </row>
    <row r="84" spans="1:32" ht="24" customHeight="1" x14ac:dyDescent="0.2">
      <c r="A84" s="22"/>
      <c r="B84" s="23" t="s">
        <v>92</v>
      </c>
      <c r="C84" s="24">
        <v>46127</v>
      </c>
      <c r="D84" s="24">
        <v>46127</v>
      </c>
      <c r="E84" s="25">
        <f t="shared" si="5"/>
        <v>1</v>
      </c>
      <c r="F84" s="26" t="s">
        <v>14</v>
      </c>
      <c r="G84" s="22"/>
      <c r="H84" s="22"/>
      <c r="I84" s="22"/>
      <c r="J84" s="22"/>
      <c r="K84" s="22"/>
      <c r="L84" s="22"/>
      <c r="M84" s="22"/>
      <c r="N84" s="22"/>
      <c r="O84" s="36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</row>
    <row r="85" spans="1:32" ht="24" customHeight="1" x14ac:dyDescent="0.2">
      <c r="A85" s="16"/>
      <c r="B85" s="17" t="s">
        <v>93</v>
      </c>
      <c r="C85" s="18">
        <v>46127</v>
      </c>
      <c r="D85" s="18">
        <v>46127</v>
      </c>
      <c r="E85" s="19">
        <f t="shared" si="5"/>
        <v>1</v>
      </c>
      <c r="F85" s="20" t="s">
        <v>14</v>
      </c>
      <c r="G85" s="16"/>
      <c r="H85" s="16"/>
      <c r="I85" s="16"/>
      <c r="J85" s="16"/>
      <c r="K85" s="22"/>
      <c r="L85" s="22"/>
      <c r="M85" s="16"/>
      <c r="N85" s="16"/>
      <c r="O85" s="36"/>
      <c r="P85" s="16"/>
      <c r="Q85" s="16"/>
      <c r="R85" s="22"/>
      <c r="S85" s="22"/>
      <c r="T85" s="16"/>
      <c r="U85" s="16"/>
      <c r="V85" s="16"/>
      <c r="W85" s="16"/>
      <c r="X85" s="16"/>
      <c r="Y85" s="22"/>
      <c r="Z85" s="22"/>
      <c r="AA85" s="16"/>
      <c r="AB85" s="16"/>
      <c r="AC85" s="16"/>
      <c r="AD85" s="16"/>
      <c r="AE85" s="16"/>
      <c r="AF85" s="22"/>
    </row>
    <row r="86" spans="1:32" ht="24" customHeight="1" x14ac:dyDescent="0.2">
      <c r="A86" s="22"/>
      <c r="B86" s="23" t="s">
        <v>94</v>
      </c>
      <c r="C86" s="24">
        <v>46127</v>
      </c>
      <c r="D86" s="24">
        <v>46127</v>
      </c>
      <c r="E86" s="25">
        <f t="shared" si="5"/>
        <v>1</v>
      </c>
      <c r="F86" s="26" t="s">
        <v>14</v>
      </c>
      <c r="G86" s="22"/>
      <c r="H86" s="22"/>
      <c r="I86" s="22"/>
      <c r="J86" s="22"/>
      <c r="K86" s="22"/>
      <c r="L86" s="22"/>
      <c r="M86" s="22"/>
      <c r="N86" s="22"/>
      <c r="O86" s="36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</row>
    <row r="87" spans="1:32" ht="25.5" customHeight="1" x14ac:dyDescent="0.2">
      <c r="A87" s="2" t="s">
        <v>95</v>
      </c>
      <c r="B87" s="2"/>
      <c r="C87" s="2"/>
      <c r="D87" s="2"/>
      <c r="E87" s="2"/>
      <c r="F87" s="2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</row>
    <row r="88" spans="1:32" ht="24" customHeight="1" x14ac:dyDescent="0.2">
      <c r="A88" s="16"/>
      <c r="B88" s="17" t="s">
        <v>96</v>
      </c>
      <c r="C88" s="18">
        <v>46128</v>
      </c>
      <c r="D88" s="18">
        <v>46134</v>
      </c>
      <c r="E88" s="19">
        <f t="shared" ref="E88:E97" si="6">MAX(D88-C88+1,1)</f>
        <v>7</v>
      </c>
      <c r="F88" s="38" t="s">
        <v>97</v>
      </c>
      <c r="G88" s="16"/>
      <c r="H88" s="16"/>
      <c r="I88" s="16"/>
      <c r="J88" s="16"/>
      <c r="K88" s="22"/>
      <c r="L88" s="22"/>
      <c r="M88" s="16"/>
      <c r="N88" s="16"/>
      <c r="O88" s="16"/>
      <c r="P88" s="39"/>
      <c r="Q88" s="39"/>
      <c r="R88" s="39"/>
      <c r="S88" s="39"/>
      <c r="T88" s="39"/>
      <c r="U88" s="39"/>
      <c r="V88" s="39"/>
      <c r="W88" s="16"/>
      <c r="X88" s="16"/>
      <c r="Y88" s="22"/>
      <c r="Z88" s="22"/>
      <c r="AA88" s="16"/>
      <c r="AB88" s="16"/>
      <c r="AC88" s="16"/>
      <c r="AD88" s="16"/>
      <c r="AE88" s="16"/>
      <c r="AF88" s="22"/>
    </row>
    <row r="89" spans="1:32" ht="24" customHeight="1" x14ac:dyDescent="0.2">
      <c r="A89" s="22"/>
      <c r="B89" s="23" t="s">
        <v>98</v>
      </c>
      <c r="C89" s="24">
        <v>46128</v>
      </c>
      <c r="D89" s="24">
        <v>46134</v>
      </c>
      <c r="E89" s="25">
        <f t="shared" si="6"/>
        <v>7</v>
      </c>
      <c r="F89" s="40" t="s">
        <v>97</v>
      </c>
      <c r="G89" s="22"/>
      <c r="H89" s="22"/>
      <c r="I89" s="22"/>
      <c r="J89" s="22"/>
      <c r="K89" s="22"/>
      <c r="L89" s="22"/>
      <c r="M89" s="22"/>
      <c r="N89" s="22"/>
      <c r="O89" s="22"/>
      <c r="P89" s="39"/>
      <c r="Q89" s="39"/>
      <c r="R89" s="39"/>
      <c r="S89" s="39"/>
      <c r="T89" s="39"/>
      <c r="U89" s="39"/>
      <c r="V89" s="39"/>
      <c r="W89" s="22"/>
      <c r="X89" s="22"/>
      <c r="Y89" s="22"/>
      <c r="Z89" s="22"/>
      <c r="AA89" s="22"/>
      <c r="AB89" s="22"/>
      <c r="AC89" s="22"/>
      <c r="AD89" s="22"/>
      <c r="AE89" s="22"/>
      <c r="AF89" s="22"/>
    </row>
    <row r="90" spans="1:32" ht="24" customHeight="1" x14ac:dyDescent="0.2">
      <c r="A90" s="16"/>
      <c r="B90" s="17" t="s">
        <v>99</v>
      </c>
      <c r="C90" s="18">
        <v>46130</v>
      </c>
      <c r="D90" s="18">
        <v>46136</v>
      </c>
      <c r="E90" s="19">
        <f t="shared" si="6"/>
        <v>7</v>
      </c>
      <c r="F90" s="38" t="s">
        <v>97</v>
      </c>
      <c r="G90" s="16"/>
      <c r="H90" s="16"/>
      <c r="I90" s="16"/>
      <c r="J90" s="16"/>
      <c r="K90" s="22"/>
      <c r="L90" s="22"/>
      <c r="M90" s="16"/>
      <c r="N90" s="16"/>
      <c r="O90" s="16"/>
      <c r="P90" s="16"/>
      <c r="Q90" s="16"/>
      <c r="R90" s="39"/>
      <c r="S90" s="39"/>
      <c r="T90" s="39"/>
      <c r="U90" s="39"/>
      <c r="V90" s="39"/>
      <c r="W90" s="39"/>
      <c r="X90" s="39"/>
      <c r="Y90" s="22"/>
      <c r="Z90" s="22"/>
      <c r="AA90" s="16"/>
      <c r="AB90" s="16"/>
      <c r="AC90" s="16"/>
      <c r="AD90" s="16"/>
      <c r="AE90" s="16"/>
      <c r="AF90" s="22"/>
    </row>
    <row r="91" spans="1:32" ht="24" customHeight="1" x14ac:dyDescent="0.2">
      <c r="A91" s="22"/>
      <c r="B91" s="23" t="s">
        <v>100</v>
      </c>
      <c r="C91" s="24">
        <v>46130</v>
      </c>
      <c r="D91" s="24">
        <v>46135</v>
      </c>
      <c r="E91" s="25">
        <f t="shared" si="6"/>
        <v>6</v>
      </c>
      <c r="F91" s="40" t="s">
        <v>97</v>
      </c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39"/>
      <c r="S91" s="39"/>
      <c r="T91" s="39"/>
      <c r="U91" s="39"/>
      <c r="V91" s="39"/>
      <c r="W91" s="39"/>
      <c r="X91" s="22"/>
      <c r="Y91" s="22"/>
      <c r="Z91" s="22"/>
      <c r="AA91" s="22"/>
      <c r="AB91" s="22"/>
      <c r="AC91" s="22"/>
      <c r="AD91" s="22"/>
      <c r="AE91" s="22"/>
      <c r="AF91" s="22"/>
    </row>
    <row r="92" spans="1:32" ht="24" customHeight="1" x14ac:dyDescent="0.2">
      <c r="A92" s="16"/>
      <c r="B92" s="17" t="s">
        <v>101</v>
      </c>
      <c r="C92" s="18">
        <v>46132</v>
      </c>
      <c r="D92" s="18">
        <v>46137</v>
      </c>
      <c r="E92" s="19">
        <f t="shared" si="6"/>
        <v>6</v>
      </c>
      <c r="F92" s="38" t="s">
        <v>97</v>
      </c>
      <c r="G92" s="16"/>
      <c r="H92" s="16"/>
      <c r="I92" s="16"/>
      <c r="J92" s="16"/>
      <c r="K92" s="22"/>
      <c r="L92" s="22"/>
      <c r="M92" s="16"/>
      <c r="N92" s="16"/>
      <c r="O92" s="16"/>
      <c r="P92" s="16"/>
      <c r="Q92" s="16"/>
      <c r="R92" s="22"/>
      <c r="S92" s="22"/>
      <c r="T92" s="39"/>
      <c r="U92" s="39"/>
      <c r="V92" s="39"/>
      <c r="W92" s="39"/>
      <c r="X92" s="39"/>
      <c r="Y92" s="39"/>
      <c r="Z92" s="22"/>
      <c r="AA92" s="16"/>
      <c r="AB92" s="16"/>
      <c r="AC92" s="16"/>
      <c r="AD92" s="16"/>
      <c r="AE92" s="16"/>
      <c r="AF92" s="22"/>
    </row>
    <row r="93" spans="1:32" ht="24" customHeight="1" x14ac:dyDescent="0.2">
      <c r="A93" s="22"/>
      <c r="B93" s="23" t="s">
        <v>102</v>
      </c>
      <c r="C93" s="24">
        <v>46132</v>
      </c>
      <c r="D93" s="24">
        <v>46137</v>
      </c>
      <c r="E93" s="25">
        <f t="shared" si="6"/>
        <v>6</v>
      </c>
      <c r="F93" s="40" t="s">
        <v>97</v>
      </c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39"/>
      <c r="U93" s="39"/>
      <c r="V93" s="39"/>
      <c r="W93" s="39"/>
      <c r="X93" s="39"/>
      <c r="Y93" s="39"/>
      <c r="Z93" s="22"/>
      <c r="AA93" s="22"/>
      <c r="AB93" s="22"/>
      <c r="AC93" s="22"/>
      <c r="AD93" s="22"/>
      <c r="AE93" s="22"/>
      <c r="AF93" s="22"/>
    </row>
    <row r="94" spans="1:32" ht="24" customHeight="1" x14ac:dyDescent="0.2">
      <c r="A94" s="16"/>
      <c r="B94" s="17" t="s">
        <v>103</v>
      </c>
      <c r="C94" s="18">
        <v>46134</v>
      </c>
      <c r="D94" s="18">
        <v>46140</v>
      </c>
      <c r="E94" s="19">
        <f t="shared" si="6"/>
        <v>7</v>
      </c>
      <c r="F94" s="38" t="s">
        <v>97</v>
      </c>
      <c r="G94" s="16"/>
      <c r="H94" s="16"/>
      <c r="I94" s="16"/>
      <c r="J94" s="16"/>
      <c r="K94" s="22"/>
      <c r="L94" s="22"/>
      <c r="M94" s="16"/>
      <c r="N94" s="16"/>
      <c r="O94" s="16"/>
      <c r="P94" s="16"/>
      <c r="Q94" s="16"/>
      <c r="R94" s="22"/>
      <c r="S94" s="22"/>
      <c r="T94" s="16"/>
      <c r="U94" s="16"/>
      <c r="V94" s="39"/>
      <c r="W94" s="39"/>
      <c r="X94" s="39"/>
      <c r="Y94" s="39"/>
      <c r="Z94" s="39"/>
      <c r="AA94" s="39"/>
      <c r="AB94" s="39"/>
      <c r="AC94" s="16"/>
      <c r="AD94" s="16"/>
      <c r="AE94" s="16"/>
      <c r="AF94" s="22"/>
    </row>
    <row r="95" spans="1:32" ht="24" customHeight="1" x14ac:dyDescent="0.2">
      <c r="A95" s="22"/>
      <c r="B95" s="23" t="s">
        <v>104</v>
      </c>
      <c r="C95" s="24">
        <v>46136</v>
      </c>
      <c r="D95" s="24">
        <v>46142</v>
      </c>
      <c r="E95" s="25">
        <f t="shared" si="6"/>
        <v>7</v>
      </c>
      <c r="F95" s="40" t="s">
        <v>97</v>
      </c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39"/>
      <c r="Y95" s="39"/>
      <c r="Z95" s="39"/>
      <c r="AA95" s="39"/>
      <c r="AB95" s="39"/>
      <c r="AC95" s="39"/>
      <c r="AD95" s="39"/>
      <c r="AE95" s="22"/>
      <c r="AF95" s="22"/>
    </row>
    <row r="96" spans="1:32" ht="24" customHeight="1" x14ac:dyDescent="0.2">
      <c r="A96" s="16"/>
      <c r="B96" s="17" t="s">
        <v>105</v>
      </c>
      <c r="C96" s="18">
        <v>46138</v>
      </c>
      <c r="D96" s="18">
        <v>46144</v>
      </c>
      <c r="E96" s="19">
        <f t="shared" si="6"/>
        <v>7</v>
      </c>
      <c r="F96" s="38" t="s">
        <v>97</v>
      </c>
      <c r="G96" s="16"/>
      <c r="H96" s="16"/>
      <c r="I96" s="16"/>
      <c r="J96" s="16"/>
      <c r="K96" s="22"/>
      <c r="L96" s="22"/>
      <c r="M96" s="16"/>
      <c r="N96" s="16"/>
      <c r="O96" s="16"/>
      <c r="P96" s="16"/>
      <c r="Q96" s="16"/>
      <c r="R96" s="22"/>
      <c r="S96" s="22"/>
      <c r="T96" s="16"/>
      <c r="U96" s="16"/>
      <c r="V96" s="16"/>
      <c r="W96" s="16"/>
      <c r="X96" s="16"/>
      <c r="Y96" s="22"/>
      <c r="Z96" s="39"/>
      <c r="AA96" s="39"/>
      <c r="AB96" s="39"/>
      <c r="AC96" s="39"/>
      <c r="AD96" s="39"/>
      <c r="AE96" s="39"/>
      <c r="AF96" s="39"/>
    </row>
    <row r="97" spans="1:32" ht="24" customHeight="1" x14ac:dyDescent="0.2">
      <c r="A97" s="22"/>
      <c r="B97" s="23" t="s">
        <v>106</v>
      </c>
      <c r="C97" s="24">
        <v>46128</v>
      </c>
      <c r="D97" s="24">
        <v>46130</v>
      </c>
      <c r="E97" s="25">
        <f t="shared" si="6"/>
        <v>3</v>
      </c>
      <c r="F97" s="40" t="s">
        <v>97</v>
      </c>
      <c r="G97" s="22"/>
      <c r="H97" s="22"/>
      <c r="I97" s="22"/>
      <c r="J97" s="22"/>
      <c r="K97" s="22"/>
      <c r="L97" s="22"/>
      <c r="M97" s="22"/>
      <c r="N97" s="22"/>
      <c r="O97" s="22"/>
      <c r="P97" s="39"/>
      <c r="Q97" s="39"/>
      <c r="R97" s="39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</row>
    <row r="100" spans="1:32" x14ac:dyDescent="0.2">
      <c r="A100" s="41" t="s">
        <v>107</v>
      </c>
    </row>
    <row r="101" spans="1:32" x14ac:dyDescent="0.2">
      <c r="A101" s="21"/>
      <c r="B101" s="42" t="s">
        <v>108</v>
      </c>
    </row>
    <row r="102" spans="1:32" x14ac:dyDescent="0.2">
      <c r="A102" s="28"/>
      <c r="B102" s="42" t="s">
        <v>109</v>
      </c>
    </row>
    <row r="103" spans="1:32" x14ac:dyDescent="0.2">
      <c r="A103" s="30"/>
      <c r="B103" s="42" t="s">
        <v>110</v>
      </c>
    </row>
    <row r="104" spans="1:32" x14ac:dyDescent="0.2">
      <c r="A104" s="32"/>
      <c r="B104" s="42" t="s">
        <v>111</v>
      </c>
    </row>
    <row r="105" spans="1:32" x14ac:dyDescent="0.2">
      <c r="A105" s="34"/>
      <c r="B105" s="42" t="s">
        <v>112</v>
      </c>
    </row>
    <row r="106" spans="1:32" x14ac:dyDescent="0.2">
      <c r="A106" s="36"/>
      <c r="B106" s="42" t="s">
        <v>113</v>
      </c>
    </row>
    <row r="107" spans="1:32" x14ac:dyDescent="0.2">
      <c r="A107" s="43"/>
      <c r="B107" s="42" t="s">
        <v>95</v>
      </c>
    </row>
  </sheetData>
  <autoFilter ref="A4:AF100" xr:uid="{00000000-0009-0000-0000-000000000000}"/>
  <mergeCells count="13">
    <mergeCell ref="A76:F76"/>
    <mergeCell ref="A87:F87"/>
    <mergeCell ref="A5:F5"/>
    <mergeCell ref="A23:F23"/>
    <mergeCell ref="A32:F32"/>
    <mergeCell ref="A45:F45"/>
    <mergeCell ref="A60:F60"/>
    <mergeCell ref="A1:AF1"/>
    <mergeCell ref="A2:AF2"/>
    <mergeCell ref="G3:L3"/>
    <mergeCell ref="M3:S3"/>
    <mergeCell ref="T3:Z3"/>
    <mergeCell ref="AA3:AF3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zoomScaleNormal="100" workbookViewId="0"/>
  </sheetViews>
  <sheetFormatPr baseColWidth="10" defaultColWidth="8.6640625" defaultRowHeight="15" customHeight="1" x14ac:dyDescent="0.2"/>
  <cols>
    <col min="1" max="1" width="45" customWidth="1"/>
    <col min="2" max="3" width="14" customWidth="1"/>
    <col min="4" max="4" width="10" customWidth="1"/>
    <col min="5" max="5" width="12" customWidth="1"/>
  </cols>
  <sheetData>
    <row r="1" spans="1:5" ht="18" x14ac:dyDescent="0.2">
      <c r="A1" s="44" t="s">
        <v>114</v>
      </c>
    </row>
    <row r="3" spans="1:5" x14ac:dyDescent="0.2">
      <c r="A3" s="45" t="s">
        <v>6</v>
      </c>
      <c r="B3" s="45" t="s">
        <v>115</v>
      </c>
      <c r="C3" s="45" t="s">
        <v>116</v>
      </c>
      <c r="D3" s="45" t="s">
        <v>117</v>
      </c>
      <c r="E3" s="45" t="s">
        <v>11</v>
      </c>
    </row>
    <row r="4" spans="1:5" x14ac:dyDescent="0.2">
      <c r="A4" s="46" t="s">
        <v>12</v>
      </c>
      <c r="B4" s="47">
        <v>46119</v>
      </c>
      <c r="C4" s="47">
        <v>46122</v>
      </c>
      <c r="D4" s="48">
        <v>17</v>
      </c>
      <c r="E4" s="49" t="s">
        <v>118</v>
      </c>
    </row>
    <row r="5" spans="1:5" x14ac:dyDescent="0.2">
      <c r="A5" s="50" t="s">
        <v>31</v>
      </c>
      <c r="B5" s="51">
        <v>46122</v>
      </c>
      <c r="C5" s="51">
        <v>46123</v>
      </c>
      <c r="D5" s="52">
        <v>8</v>
      </c>
      <c r="E5" s="53" t="s">
        <v>118</v>
      </c>
    </row>
    <row r="6" spans="1:5" x14ac:dyDescent="0.2">
      <c r="A6" s="46" t="s">
        <v>40</v>
      </c>
      <c r="B6" s="47">
        <v>46123</v>
      </c>
      <c r="C6" s="47">
        <v>46124</v>
      </c>
      <c r="D6" s="48">
        <v>12</v>
      </c>
      <c r="E6" s="49" t="s">
        <v>118</v>
      </c>
    </row>
    <row r="7" spans="1:5" x14ac:dyDescent="0.2">
      <c r="A7" s="50" t="s">
        <v>53</v>
      </c>
      <c r="B7" s="51">
        <v>46125</v>
      </c>
      <c r="C7" s="51">
        <v>46126</v>
      </c>
      <c r="D7" s="52">
        <v>14</v>
      </c>
      <c r="E7" s="53" t="s">
        <v>118</v>
      </c>
    </row>
    <row r="8" spans="1:5" x14ac:dyDescent="0.2">
      <c r="A8" s="46" t="s">
        <v>68</v>
      </c>
      <c r="B8" s="47">
        <v>46126</v>
      </c>
      <c r="C8" s="47">
        <v>46127</v>
      </c>
      <c r="D8" s="48">
        <v>15</v>
      </c>
      <c r="E8" s="49" t="s">
        <v>118</v>
      </c>
    </row>
    <row r="9" spans="1:5" x14ac:dyDescent="0.2">
      <c r="A9" s="50" t="s">
        <v>84</v>
      </c>
      <c r="B9" s="51">
        <v>46127</v>
      </c>
      <c r="C9" s="51">
        <v>46127</v>
      </c>
      <c r="D9" s="52">
        <v>10</v>
      </c>
      <c r="E9" s="53" t="s">
        <v>118</v>
      </c>
    </row>
    <row r="10" spans="1:5" x14ac:dyDescent="0.2">
      <c r="A10" s="46" t="s">
        <v>95</v>
      </c>
      <c r="B10" s="47">
        <v>46128</v>
      </c>
      <c r="C10" s="47">
        <v>46144</v>
      </c>
      <c r="D10" s="48">
        <v>10</v>
      </c>
      <c r="E10" s="54" t="s">
        <v>97</v>
      </c>
    </row>
    <row r="11" spans="1:5" x14ac:dyDescent="0.2">
      <c r="A11" s="55" t="s">
        <v>119</v>
      </c>
      <c r="D11" s="56">
        <f>SUM(D4:D10)</f>
        <v>86</v>
      </c>
    </row>
    <row r="13" spans="1:5" ht="16" x14ac:dyDescent="0.2">
      <c r="A13" s="57" t="s">
        <v>120</v>
      </c>
    </row>
    <row r="14" spans="1:5" x14ac:dyDescent="0.2">
      <c r="A14" s="55" t="s">
        <v>121</v>
      </c>
      <c r="B14" s="1" t="s">
        <v>122</v>
      </c>
      <c r="C14" s="1"/>
      <c r="D14" s="1"/>
      <c r="E14" s="1"/>
    </row>
    <row r="15" spans="1:5" x14ac:dyDescent="0.2">
      <c r="A15" s="55" t="s">
        <v>123</v>
      </c>
      <c r="B15" s="1" t="s">
        <v>124</v>
      </c>
      <c r="C15" s="1"/>
      <c r="D15" s="1"/>
      <c r="E15" s="1"/>
    </row>
    <row r="16" spans="1:5" x14ac:dyDescent="0.2">
      <c r="A16" s="55" t="s">
        <v>125</v>
      </c>
      <c r="B16" s="1" t="s">
        <v>126</v>
      </c>
      <c r="C16" s="1"/>
      <c r="D16" s="1"/>
      <c r="E16" s="1"/>
    </row>
    <row r="17" spans="1:5" x14ac:dyDescent="0.2">
      <c r="A17" s="55" t="s">
        <v>127</v>
      </c>
      <c r="B17" s="1" t="s">
        <v>128</v>
      </c>
      <c r="C17" s="1"/>
      <c r="D17" s="1"/>
      <c r="E17" s="1"/>
    </row>
    <row r="18" spans="1:5" x14ac:dyDescent="0.2">
      <c r="A18" s="55" t="s">
        <v>129</v>
      </c>
      <c r="B18" s="1" t="s">
        <v>130</v>
      </c>
      <c r="C18" s="1"/>
      <c r="D18" s="1"/>
      <c r="E18" s="1"/>
    </row>
    <row r="19" spans="1:5" x14ac:dyDescent="0.2">
      <c r="A19" s="55" t="s">
        <v>131</v>
      </c>
      <c r="B19" s="1" t="s">
        <v>132</v>
      </c>
      <c r="C19" s="1"/>
      <c r="D19" s="1"/>
      <c r="E19" s="1"/>
    </row>
    <row r="20" spans="1:5" x14ac:dyDescent="0.2">
      <c r="A20" s="55" t="s">
        <v>133</v>
      </c>
      <c r="B20" s="1" t="s">
        <v>134</v>
      </c>
      <c r="C20" s="1"/>
      <c r="D20" s="1"/>
      <c r="E20" s="1"/>
    </row>
  </sheetData>
  <mergeCells count="7">
    <mergeCell ref="B19:E19"/>
    <mergeCell ref="B20:E20"/>
    <mergeCell ref="B14:E14"/>
    <mergeCell ref="B15:E15"/>
    <mergeCell ref="B16:E16"/>
    <mergeCell ref="B17:E17"/>
    <mergeCell ref="B18:E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Akram Mahmoud</cp:lastModifiedBy>
  <cp:revision>0</cp:revision>
  <dcterms:created xsi:type="dcterms:W3CDTF">2026-04-16T03:51:16Z</dcterms:created>
  <dcterms:modified xsi:type="dcterms:W3CDTF">2026-04-16T18:23:09Z</dcterms:modified>
  <dc:language>en-US</dc:language>
</cp:coreProperties>
</file>